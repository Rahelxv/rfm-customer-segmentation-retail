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cah\Desktop\ZPython\dunnhumby-project\Statistics_kampanye\"/>
    </mc:Choice>
  </mc:AlternateContent>
  <xr:revisionPtr revIDLastSave="0" documentId="13_ncr:1_{FAE3D5D5-9726-4E95-841E-FA81DA82013D}" xr6:coauthVersionLast="47" xr6:coauthVersionMax="47" xr10:uidLastSave="{00000000-0000-0000-0000-000000000000}"/>
  <bookViews>
    <workbookView xWindow="-120" yWindow="-120" windowWidth="29040" windowHeight="15720" xr2:uid="{F4B42FBB-6346-422F-A038-75127ABC25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16" i="1" l="1"/>
  <c r="G315" i="1"/>
  <c r="G314" i="1"/>
  <c r="G317" i="1"/>
  <c r="G209" i="1"/>
  <c r="G208" i="1"/>
  <c r="G207" i="1"/>
  <c r="G210" i="1"/>
  <c r="G6" i="1"/>
  <c r="G5" i="1"/>
  <c r="G4" i="1"/>
  <c r="G3" i="1"/>
  <c r="H3" i="1" s="1"/>
  <c r="H315" i="1" l="1"/>
  <c r="H316" i="1"/>
  <c r="H314" i="1"/>
  <c r="H4" i="1"/>
  <c r="H5" i="1"/>
  <c r="H208" i="1"/>
  <c r="H209" i="1"/>
  <c r="H207" i="1"/>
</calcChain>
</file>

<file path=xl/sharedStrings.xml><?xml version="1.0" encoding="utf-8"?>
<sst xmlns="http://schemas.openxmlformats.org/spreadsheetml/2006/main" count="451" uniqueCount="275">
  <si>
    <t>Type A</t>
  </si>
  <si>
    <t>Occasional/Sessional</t>
  </si>
  <si>
    <t>Niche</t>
  </si>
  <si>
    <t>Everyday</t>
  </si>
  <si>
    <t>FROZEN PIZZA</t>
  </si>
  <si>
    <t>DOG FOODS</t>
  </si>
  <si>
    <t>CHEESE</t>
  </si>
  <si>
    <t>HAND/BODY/FACIAL PRODUCTS</t>
  </si>
  <si>
    <t>CANNED JUICES</t>
  </si>
  <si>
    <t>CONDIMENTS/SAUCES</t>
  </si>
  <si>
    <t>FRZN MEAT/MEAT DINNERS</t>
  </si>
  <si>
    <t>ORAL HYGIENE PRODUCTS</t>
  </si>
  <si>
    <t>FRZN NOVELTIES/WTR ICE</t>
  </si>
  <si>
    <t>CAT FOOD</t>
  </si>
  <si>
    <t>ICE CREAM/MILK/SHERBTS</t>
  </si>
  <si>
    <t>REFRGRATD DOUGH PRODUCTS</t>
  </si>
  <si>
    <t>SNACK NUTS</t>
  </si>
  <si>
    <t>WATER - CARBONATED/FLVRD DRINK</t>
  </si>
  <si>
    <t>FROZEN PIE/DESSERTS</t>
  </si>
  <si>
    <t>Exclude</t>
  </si>
  <si>
    <t>NO COMMODITY DESCRIPTION</t>
  </si>
  <si>
    <t>FROZEN BREAD/DOUGH</t>
  </si>
  <si>
    <t>SHAVING CARE PRODUCTS</t>
  </si>
  <si>
    <t>FRUIT - SHELF STABLE</t>
  </si>
  <si>
    <t>VITAMINS</t>
  </si>
  <si>
    <t>HAIR CARE PRODUCTS</t>
  </si>
  <si>
    <t>SEAFOOD - FROZEN</t>
  </si>
  <si>
    <t>FD WRAPS/BAGS/TRSH BG</t>
  </si>
  <si>
    <t>FROZEN MEAT</t>
  </si>
  <si>
    <t>FLUID MILK PRODUCTS</t>
  </si>
  <si>
    <t>HISPANIC</t>
  </si>
  <si>
    <t>FROZEN - BOXED(GROCERY)</t>
  </si>
  <si>
    <t>FRZN BREAKFAST FOODS</t>
  </si>
  <si>
    <t>REFRGRATD JUICES/DRNKS</t>
  </si>
  <si>
    <t>COUPONS/STORE &amp; MFG</t>
  </si>
  <si>
    <t>SOAP - LIQUID &amp; BAR</t>
  </si>
  <si>
    <t>SALAD MIX</t>
  </si>
  <si>
    <t>LAUNDRY DETERGENTS</t>
  </si>
  <si>
    <t>DRY NOODLES/PASTA</t>
  </si>
  <si>
    <t>MEAT - MISC</t>
  </si>
  <si>
    <t>FRZN VEGETABLE/VEG DSH</t>
  </si>
  <si>
    <t>COFFEE</t>
  </si>
  <si>
    <t>CONVENIENT BRKFST/WHLSM SNACKS</t>
  </si>
  <si>
    <t>SOFT DRINKS</t>
  </si>
  <si>
    <t>PNT BTR/JELLY/JAMS</t>
  </si>
  <si>
    <t>HOUSEHOLD CLEANG NEEDS</t>
  </si>
  <si>
    <t>CHEESES</t>
  </si>
  <si>
    <t>BAKING MIXES</t>
  </si>
  <si>
    <t>COLD CEREAL</t>
  </si>
  <si>
    <t>CANDY - PACKAGED</t>
  </si>
  <si>
    <t>SOUP</t>
  </si>
  <si>
    <t>DINNER SAUSAGE</t>
  </si>
  <si>
    <t>PAPER HOUSEWARES</t>
  </si>
  <si>
    <t>BAKING NEEDS</t>
  </si>
  <si>
    <t>DRY BN/VEG/POTATO/RICE</t>
  </si>
  <si>
    <t>SHORTENING/OIL</t>
  </si>
  <si>
    <t>MISC. DAIRY</t>
  </si>
  <si>
    <t>BAG SNACKS</t>
  </si>
  <si>
    <t>CHICKEN</t>
  </si>
  <si>
    <t>PICKLE/RELISH/PKLD VEG</t>
  </si>
  <si>
    <t>BREAKFAST SAUSAGE/SANDWICHES</t>
  </si>
  <si>
    <t>FRZN SEAFOOD</t>
  </si>
  <si>
    <t>PAPER TOWELS</t>
  </si>
  <si>
    <t>SINUS AND ALLERGY</t>
  </si>
  <si>
    <t>SEAFOOD - MISC</t>
  </si>
  <si>
    <t>FIRST AID PRODUCTS</t>
  </si>
  <si>
    <t>COOKIES/CONES</t>
  </si>
  <si>
    <t>COLD AND FLU</t>
  </si>
  <si>
    <t>ANALGESICS</t>
  </si>
  <si>
    <t>HEAT/SERVE</t>
  </si>
  <si>
    <t>YOGURT</t>
  </si>
  <si>
    <t>WAREHOUSE SNACKS</t>
  </si>
  <si>
    <t>VEGETABLES - SHELF STABLE</t>
  </si>
  <si>
    <t>VALENTINE</t>
  </si>
  <si>
    <t>UNKNOWN</t>
  </si>
  <si>
    <t>TURKEY</t>
  </si>
  <si>
    <t>TEAS</t>
  </si>
  <si>
    <t>SPICES &amp; EXTRACTS</t>
  </si>
  <si>
    <t>REFRIGERATED</t>
  </si>
  <si>
    <t>BATH TISSUES</t>
  </si>
  <si>
    <t>ORGANICS FRUIT &amp; VEGETABLES</t>
  </si>
  <si>
    <t>FEMININE HYGIENE</t>
  </si>
  <si>
    <t>MARGARINES</t>
  </si>
  <si>
    <t>BEEF</t>
  </si>
  <si>
    <t>FRZN POTATOES</t>
  </si>
  <si>
    <t>BACON</t>
  </si>
  <si>
    <t>SEAFOOD - SHELF STABLE</t>
  </si>
  <si>
    <t>MEAT - SHELF STABLE</t>
  </si>
  <si>
    <t>LUNCHMEAT</t>
  </si>
  <si>
    <t>AIR CARE</t>
  </si>
  <si>
    <t>MILK BY-PRODUCTS</t>
  </si>
  <si>
    <t>SNKS/CKYS/CRKR/CNDY</t>
  </si>
  <si>
    <t>FROZEN</t>
  </si>
  <si>
    <t>PLASTIC HOUSEWARES</t>
  </si>
  <si>
    <t>FACIAL TISS/DNR NAPKIN</t>
  </si>
  <si>
    <t>SALADS/DIPS</t>
  </si>
  <si>
    <t>SALD DRSNG/SNDWCH SPRD</t>
  </si>
  <si>
    <t>COUPON/MISC ITEMS</t>
  </si>
  <si>
    <t>EYE AND EAR CARE PRODUCTS</t>
  </si>
  <si>
    <t>DEODORANTS</t>
  </si>
  <si>
    <t>DELI MEATS</t>
  </si>
  <si>
    <t>DRY SAUCES/GRAVY</t>
  </si>
  <si>
    <t>DINNER MXS:DRY</t>
  </si>
  <si>
    <t>SEAFOOD-FRESH</t>
  </si>
  <si>
    <t>FILM AND CAMERA PRODUCTS</t>
  </si>
  <si>
    <t>MISCELLANEOUS</t>
  </si>
  <si>
    <t>FLORAL-FRESH CUT</t>
  </si>
  <si>
    <t>SMOKED MEATS</t>
  </si>
  <si>
    <t>BAKED BREAD/BUNS/ROLLS</t>
  </si>
  <si>
    <t>COCOA MIXES</t>
  </si>
  <si>
    <t>CAT LITTER</t>
  </si>
  <si>
    <t>CHRISTMAS  SEASONAL</t>
  </si>
  <si>
    <t>LAXATIVES</t>
  </si>
  <si>
    <t>SALAD BAR</t>
  </si>
  <si>
    <t>INFANT FORMULA</t>
  </si>
  <si>
    <t>PWDR/CRYSTL DRNK MX</t>
  </si>
  <si>
    <t>VALUE ADDED FRUIT</t>
  </si>
  <si>
    <t>PIES</t>
  </si>
  <si>
    <t>DISHWASH DETERGENTS</t>
  </si>
  <si>
    <t>DIETARY AID PRODUCTS</t>
  </si>
  <si>
    <t>BATH</t>
  </si>
  <si>
    <t>PORK</t>
  </si>
  <si>
    <t>ADULT INCONTINENCE</t>
  </si>
  <si>
    <t>FOOT CARE PRODUCTS</t>
  </si>
  <si>
    <t>ANTACIDS</t>
  </si>
  <si>
    <t>GREETING CARDS/WRAP/PARTY SPLY</t>
  </si>
  <si>
    <t>CEREAL/BREAKFAST</t>
  </si>
  <si>
    <t>CARROTS</t>
  </si>
  <si>
    <t>CANDY - CHECKLANE</t>
  </si>
  <si>
    <t>BLEACH</t>
  </si>
  <si>
    <t>CRACKERS/MISC BKD FD</t>
  </si>
  <si>
    <t>DIAPERS &amp; DISPOSABLES</t>
  </si>
  <si>
    <t>DRIED FRUIT</t>
  </si>
  <si>
    <t>EASTER</t>
  </si>
  <si>
    <t>EGGS</t>
  </si>
  <si>
    <t>FAMILY PLANNING</t>
  </si>
  <si>
    <t>FITNESS&amp;DIET</t>
  </si>
  <si>
    <t>FRZN FRUITS</t>
  </si>
  <si>
    <t>FRZN JCE CONC/DRNKS</t>
  </si>
  <si>
    <t>HOT CEREAL</t>
  </si>
  <si>
    <t>HOT DOGS</t>
  </si>
  <si>
    <t>ISOTONIC DRINKS</t>
  </si>
  <si>
    <t>MAKEUP AND TREATMENT</t>
  </si>
  <si>
    <t>PASTA SAUCE</t>
  </si>
  <si>
    <t>POPCORN</t>
  </si>
  <si>
    <t>PREPARED FOOD</t>
  </si>
  <si>
    <t>ROSES</t>
  </si>
  <si>
    <t>STATIONERY &amp; SCHOOL SUPPLIES</t>
  </si>
  <si>
    <t>SUGARS/SWEETNERS</t>
  </si>
  <si>
    <t>HERBS</t>
  </si>
  <si>
    <t>HARDWARE SUPPLIES</t>
  </si>
  <si>
    <t>FRZN ICE</t>
  </si>
  <si>
    <t>VALUE ADDED VEGETABLES</t>
  </si>
  <si>
    <t>BATTERIES</t>
  </si>
  <si>
    <t>BEERS/ALES</t>
  </si>
  <si>
    <t>BERRIES</t>
  </si>
  <si>
    <t>BOUQUET (NON ROSE)</t>
  </si>
  <si>
    <t>WATER</t>
  </si>
  <si>
    <t>RW FRESH PROCESSED MEAT</t>
  </si>
  <si>
    <t>TROPICAL FRUIT</t>
  </si>
  <si>
    <t>MUSHROOMS</t>
  </si>
  <si>
    <t>FROZEN CHICKEN</t>
  </si>
  <si>
    <t>GRAPES</t>
  </si>
  <si>
    <t>FLORAL- HARD GOODS</t>
  </si>
  <si>
    <t>VEGETABLES - ALL OTHERS</t>
  </si>
  <si>
    <t>VEGETABLES SALAD</t>
  </si>
  <si>
    <t>NEW AGE</t>
  </si>
  <si>
    <t>SEASONAL</t>
  </si>
  <si>
    <t>NUTS</t>
  </si>
  <si>
    <t>BAKING</t>
  </si>
  <si>
    <t>ONIONS</t>
  </si>
  <si>
    <t>LAMB</t>
  </si>
  <si>
    <t>SMOKING CESSATIONS</t>
  </si>
  <si>
    <t>(CORP USE ONLY)</t>
  </si>
  <si>
    <t>EXOTIC GAME/FOWL</t>
  </si>
  <si>
    <t>CITRUS</t>
  </si>
  <si>
    <t>CHIPS&amp;SNACKS</t>
  </si>
  <si>
    <t>CAKES</t>
  </si>
  <si>
    <t>BROOMS AND MOPS</t>
  </si>
  <si>
    <t>PACKAGED NATURAL SNACKS</t>
  </si>
  <si>
    <t>ETHNIC PERSONAL CARE</t>
  </si>
  <si>
    <t>SQUASH</t>
  </si>
  <si>
    <t>APPLES</t>
  </si>
  <si>
    <t>STONE FRUIT</t>
  </si>
  <si>
    <t>CORN</t>
  </si>
  <si>
    <t>SUNTAN</t>
  </si>
  <si>
    <t>EASTER LILY</t>
  </si>
  <si>
    <t>SWEET GOODS &amp; SNACKS</t>
  </si>
  <si>
    <t>TOMATOES</t>
  </si>
  <si>
    <t>BROCCOLI/CAULIFLOWER</t>
  </si>
  <si>
    <t>PARTY TRAYS</t>
  </si>
  <si>
    <t>BABY HBC</t>
  </si>
  <si>
    <t>PEARS</t>
  </si>
  <si>
    <t>PEPPERS-ALL</t>
  </si>
  <si>
    <t>FLORAL BALLOONS</t>
  </si>
  <si>
    <t>GIFT &amp; FRUIT BASKETS</t>
  </si>
  <si>
    <t>PHARMACY</t>
  </si>
  <si>
    <t>VEAL</t>
  </si>
  <si>
    <t>MELONS</t>
  </si>
  <si>
    <t>FLORAL-FOLIAGE PLANTS</t>
  </si>
  <si>
    <t>FLORAL-FLOWERING PLANTS</t>
  </si>
  <si>
    <t>FLORAL-ACCESSORIES</t>
  </si>
  <si>
    <t>GARDEN CENTER</t>
  </si>
  <si>
    <t>BABY FOODS</t>
  </si>
  <si>
    <t>POTATOES</t>
  </si>
  <si>
    <t>JUICE</t>
  </si>
  <si>
    <t>CANNED MILK</t>
  </si>
  <si>
    <t>INFANT CARE PRODUCTS</t>
  </si>
  <si>
    <t>GLASSES/VISION AIDS</t>
  </si>
  <si>
    <t>KITCHEN GADGETS</t>
  </si>
  <si>
    <t>LAWN AND GARDEN SHOP</t>
  </si>
  <si>
    <t>J-HOOKS</t>
  </si>
  <si>
    <t>FRAGRANCES</t>
  </si>
  <si>
    <t>FLOUR &amp; MEALS</t>
  </si>
  <si>
    <t>MEAT SUPPLIES</t>
  </si>
  <si>
    <t>MISCELLANEOUS CROUTONS</t>
  </si>
  <si>
    <t>MISCELLANEOUS HBC</t>
  </si>
  <si>
    <t>NATURAL HBC</t>
  </si>
  <si>
    <t>MOLASSES/SYRUP/PANCAKE MIXS</t>
  </si>
  <si>
    <t>NATURAL VITAMINS</t>
  </si>
  <si>
    <t>NON EDIBLE PRODUCTS</t>
  </si>
  <si>
    <t>OLIVES</t>
  </si>
  <si>
    <t>FALL AND WINTER SEASONAL</t>
  </si>
  <si>
    <t>PET CARE SUPPLIES</t>
  </si>
  <si>
    <t>PERSONAL CARE APPLIANCES</t>
  </si>
  <si>
    <t>COSMETIC ACCESSORIES</t>
  </si>
  <si>
    <t>COOKWARE &amp; BAKEWARE</t>
  </si>
  <si>
    <t>BAKERY PARTY TRAYS</t>
  </si>
  <si>
    <t>BEANS - CANNED GLASS &amp; MW</t>
  </si>
  <si>
    <t>BUTTER</t>
  </si>
  <si>
    <t>GLASSWARE &amp; DINNERWARE</t>
  </si>
  <si>
    <t>CHARCOAL AND LIGHTER FLUID</t>
  </si>
  <si>
    <t>AUDIO/VIDEO PRODUCTS</t>
  </si>
  <si>
    <t>AUTOMOTIVE PRODUCTS</t>
  </si>
  <si>
    <t>APPAREL</t>
  </si>
  <si>
    <t>CHICKEN/POULTRY</t>
  </si>
  <si>
    <t>CANDLES/ACCESSORIES</t>
  </si>
  <si>
    <t>SPORTS MEMORABLILIA</t>
  </si>
  <si>
    <t>SPRING/SUMMER SEASONAL</t>
  </si>
  <si>
    <t>TOYS AND GAMES</t>
  </si>
  <si>
    <t>SUSHI</t>
  </si>
  <si>
    <t>HALLOWEEN</t>
  </si>
  <si>
    <t>HAIR CARE ACCESSORIES</t>
  </si>
  <si>
    <t>HOME HEALTH CARE</t>
  </si>
  <si>
    <t>HOSIERY/SOCKS</t>
  </si>
  <si>
    <t>COOKIES</t>
  </si>
  <si>
    <t>BOOKSTORE</t>
  </si>
  <si>
    <t>BEVERAGE</t>
  </si>
  <si>
    <t>MAGAZINE</t>
  </si>
  <si>
    <t>PREPARED/PKGD FOODS</t>
  </si>
  <si>
    <t>DRY MIX DESSERTS</t>
  </si>
  <si>
    <t>HOME FREEZING &amp; CANNING SUPPLY</t>
  </si>
  <si>
    <t>SYRUPS/TOPPINGS</t>
  </si>
  <si>
    <t>NON-DAIRY BEVERAGES</t>
  </si>
  <si>
    <t>BREAD</t>
  </si>
  <si>
    <t>ROLLS</t>
  </si>
  <si>
    <t>DOMESTIC GOODS</t>
  </si>
  <si>
    <t>DOLLAR VALUE PRODUCTS</t>
  </si>
  <si>
    <t>DELI SPECIALTIES (RETAIL PK)</t>
  </si>
  <si>
    <t>WATCHES/CALCULATORS/LOBBY</t>
  </si>
  <si>
    <t>PROD SUPPLIES</t>
  </si>
  <si>
    <t>CONTINUITIES</t>
  </si>
  <si>
    <t>COFFEE FILTERS</t>
  </si>
  <si>
    <t>COFFEE SHOP</t>
  </si>
  <si>
    <t>TICKETS</t>
  </si>
  <si>
    <t>Kategori</t>
  </si>
  <si>
    <t>Total Item</t>
  </si>
  <si>
    <t>Percentage</t>
  </si>
  <si>
    <t>Type B</t>
  </si>
  <si>
    <t>CONDIMENTS</t>
  </si>
  <si>
    <t>BIRD SEED</t>
  </si>
  <si>
    <t>BABYFOOD</t>
  </si>
  <si>
    <t>PROCESSED</t>
  </si>
  <si>
    <t>Type C</t>
  </si>
  <si>
    <t>LAUNDRY ADDITIVES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</si>
</sst>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10" fontId="0" fillId="0" borderId="0" xfId="0" applyNumberFormat="1"/>
    <xf numFmtId="0" fontId="0" fillId="0" borderId="0" xfId="0" applyFont="1"/>
    <xf numFmtId="1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</a:t>
            </a:r>
            <a:r>
              <a:rPr lang="en-US" baseline="0"/>
              <a:t> 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Sheet1!$G$2</c:f>
              <c:strCache>
                <c:ptCount val="1"/>
                <c:pt idx="0">
                  <c:v>Total Item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Sheet1!$F$3:$F$5</c:f>
              <c:strCache>
                <c:ptCount val="3"/>
                <c:pt idx="0">
                  <c:v>Everyday</c:v>
                </c:pt>
                <c:pt idx="1">
                  <c:v>Occasional/Sessional</c:v>
                </c:pt>
                <c:pt idx="2">
                  <c:v>Niche</c:v>
                </c:pt>
              </c:strCache>
            </c:strRef>
          </c:cat>
          <c:val>
            <c:numRef>
              <c:f>Sheet1!$G$3:$G$5</c:f>
              <c:numCache>
                <c:formatCode>General</c:formatCode>
                <c:ptCount val="3"/>
                <c:pt idx="0">
                  <c:v>201</c:v>
                </c:pt>
                <c:pt idx="1">
                  <c:v>26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E-42A2-8894-C4171A363C79}"/>
            </c:ext>
          </c:extLst>
        </c:ser>
        <c:ser>
          <c:idx val="1"/>
          <c:order val="1"/>
          <c:tx>
            <c:strRef>
              <c:f>Sheet1!$H$2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Sheet1!$F$3:$F$5</c:f>
              <c:strCache>
                <c:ptCount val="3"/>
                <c:pt idx="0">
                  <c:v>Everyday</c:v>
                </c:pt>
                <c:pt idx="1">
                  <c:v>Occasional/Sessional</c:v>
                </c:pt>
                <c:pt idx="2">
                  <c:v>Niche</c:v>
                </c:pt>
              </c:strCache>
            </c:strRef>
          </c:cat>
          <c:val>
            <c:numRef>
              <c:f>Sheet1!$H$3:$H$5</c:f>
              <c:numCache>
                <c:formatCode>0.00%</c:formatCode>
                <c:ptCount val="3"/>
                <c:pt idx="0">
                  <c:v>0.78823529411764703</c:v>
                </c:pt>
                <c:pt idx="1">
                  <c:v>0.10196078431372549</c:v>
                </c:pt>
                <c:pt idx="2">
                  <c:v>0.10980392156862745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EE-42A2-8894-C4171A363C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</a:t>
            </a:r>
            <a:r>
              <a:rPr lang="en-US" baseline="0"/>
              <a:t> B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Sheet1!$G$206</c:f>
              <c:strCache>
                <c:ptCount val="1"/>
                <c:pt idx="0">
                  <c:v>Total Item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Sheet1!$F$207:$F$209</c:f>
              <c:strCache>
                <c:ptCount val="3"/>
                <c:pt idx="0">
                  <c:v>Everyday</c:v>
                </c:pt>
                <c:pt idx="1">
                  <c:v>Occasional/Sessional</c:v>
                </c:pt>
                <c:pt idx="2">
                  <c:v>Niche</c:v>
                </c:pt>
              </c:strCache>
            </c:strRef>
          </c:cat>
          <c:val>
            <c:numRef>
              <c:f>Sheet1!$G$207:$G$209</c:f>
              <c:numCache>
                <c:formatCode>General</c:formatCode>
                <c:ptCount val="3"/>
                <c:pt idx="0">
                  <c:v>104</c:v>
                </c:pt>
                <c:pt idx="1">
                  <c:v>8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1-4B1F-B656-D0E9956D3291}"/>
            </c:ext>
          </c:extLst>
        </c:ser>
        <c:ser>
          <c:idx val="1"/>
          <c:order val="1"/>
          <c:tx>
            <c:strRef>
              <c:f>Sheet1!$H$206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Sheet1!$F$207:$F$209</c:f>
              <c:strCache>
                <c:ptCount val="3"/>
                <c:pt idx="0">
                  <c:v>Everyday</c:v>
                </c:pt>
                <c:pt idx="1">
                  <c:v>Occasional/Sessional</c:v>
                </c:pt>
                <c:pt idx="2">
                  <c:v>Niche</c:v>
                </c:pt>
              </c:strCache>
            </c:strRef>
          </c:cat>
          <c:val>
            <c:numRef>
              <c:f>Sheet1!$H$207:$H$209</c:f>
              <c:numCache>
                <c:formatCode>0.00%</c:formatCode>
                <c:ptCount val="3"/>
                <c:pt idx="0">
                  <c:v>0.40784313725490196</c:v>
                </c:pt>
                <c:pt idx="1">
                  <c:v>3.1372549019607843E-2</c:v>
                </c:pt>
                <c:pt idx="2">
                  <c:v>5.0980392156862744E-2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81-4B1F-B656-D0E9956D32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</a:t>
            </a:r>
            <a:r>
              <a:rPr lang="en-US" baseline="0"/>
              <a:t> 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Sheet1!$G$313</c:f>
              <c:strCache>
                <c:ptCount val="1"/>
                <c:pt idx="0">
                  <c:v>Total Item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Sheet1!$F$314:$F$316</c:f>
              <c:strCache>
                <c:ptCount val="3"/>
                <c:pt idx="0">
                  <c:v>Everyday</c:v>
                </c:pt>
                <c:pt idx="1">
                  <c:v>Occasional/Sessional</c:v>
                </c:pt>
                <c:pt idx="2">
                  <c:v>Niche</c:v>
                </c:pt>
              </c:strCache>
            </c:strRef>
          </c:cat>
          <c:val>
            <c:numRef>
              <c:f>Sheet1!$G$314:$G$316</c:f>
              <c:numCache>
                <c:formatCode>General</c:formatCode>
                <c:ptCount val="3"/>
                <c:pt idx="0">
                  <c:v>25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2B-425F-BE6C-CDDF63BEC6AA}"/>
            </c:ext>
          </c:extLst>
        </c:ser>
        <c:ser>
          <c:idx val="1"/>
          <c:order val="1"/>
          <c:tx>
            <c:strRef>
              <c:f>Sheet1!$H$313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Sheet1!$F$314:$F$316</c:f>
              <c:strCache>
                <c:ptCount val="3"/>
                <c:pt idx="0">
                  <c:v>Everyday</c:v>
                </c:pt>
                <c:pt idx="1">
                  <c:v>Occasional/Sessional</c:v>
                </c:pt>
                <c:pt idx="2">
                  <c:v>Niche</c:v>
                </c:pt>
              </c:strCache>
            </c:strRef>
          </c:cat>
          <c:val>
            <c:numRef>
              <c:f>Sheet1!$H$314:$H$316</c:f>
              <c:numCache>
                <c:formatCode>0.00%</c:formatCode>
                <c:ptCount val="3"/>
                <c:pt idx="0">
                  <c:v>9.8039215686274508E-2</c:v>
                </c:pt>
                <c:pt idx="1">
                  <c:v>7.8431372549019607E-3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2B-425F-BE6C-CDDF63BEC6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1847849</xdr:colOff>
      <xdr:row>8</xdr:row>
      <xdr:rowOff>23812</xdr:rowOff>
    </xdr:from>
    <xdr:to>
      <xdr:col>9</xdr:col>
      <xdr:colOff>609599</xdr:colOff>
      <xdr:row>22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81B267-2607-8D75-652C-7F955D1E5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1857374</xdr:colOff>
      <xdr:row>210</xdr:row>
      <xdr:rowOff>176212</xdr:rowOff>
    </xdr:from>
    <xdr:to>
      <xdr:col>10</xdr:col>
      <xdr:colOff>9524</xdr:colOff>
      <xdr:row>225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DC061A-9DE8-FF58-6857-36935725DF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4761</xdr:colOff>
      <xdr:row>317</xdr:row>
      <xdr:rowOff>185737</xdr:rowOff>
    </xdr:from>
    <xdr:to>
      <xdr:col>11</xdr:col>
      <xdr:colOff>19049</xdr:colOff>
      <xdr:row>332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28525C-EA1A-3644-B13C-1B92F29D5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CDA4C-549B-46A7-A1E3-EC7FD89726F4}">
  <dimension ref="A1:H338"/>
  <sheetViews>
    <sheetView tabSelected="1" topLeftCell="A292" workbookViewId="0">
      <selection activeCell="D323" sqref="D323"/>
    </sheetView>
  </sheetViews>
  <sheetFormatPr defaultRowHeight="15" x14ac:dyDescent="0.25"/>
  <cols>
    <col min="1" max="1" width="34.7109375" bestFit="1" customWidth="1"/>
    <col min="2" max="2" width="33" bestFit="1" customWidth="1"/>
    <col min="3" max="3" width="28.140625" bestFit="1" customWidth="1"/>
    <col min="4" max="4" width="28" bestFit="1" customWidth="1"/>
    <col min="6" max="6" width="20.7109375" bestFit="1" customWidth="1"/>
    <col min="7" max="7" width="10" bestFit="1" customWidth="1"/>
    <col min="8" max="8" width="11.140625" bestFit="1" customWidth="1"/>
  </cols>
  <sheetData>
    <row r="1" spans="1:8" x14ac:dyDescent="0.25">
      <c r="A1" s="2" t="s">
        <v>0</v>
      </c>
    </row>
    <row r="2" spans="1:8" s="1" customFormat="1" x14ac:dyDescent="0.25">
      <c r="A2" s="1" t="s">
        <v>3</v>
      </c>
      <c r="B2" s="1" t="s">
        <v>1</v>
      </c>
      <c r="C2" s="1" t="s">
        <v>2</v>
      </c>
      <c r="D2" s="1" t="s">
        <v>19</v>
      </c>
      <c r="F2" s="1" t="s">
        <v>265</v>
      </c>
      <c r="G2" s="1" t="s">
        <v>266</v>
      </c>
      <c r="H2" s="1" t="s">
        <v>267</v>
      </c>
    </row>
    <row r="3" spans="1:8" x14ac:dyDescent="0.25">
      <c r="A3" t="s">
        <v>4</v>
      </c>
      <c r="B3" t="s">
        <v>67</v>
      </c>
      <c r="C3" t="s">
        <v>5</v>
      </c>
      <c r="D3" t="s">
        <v>20</v>
      </c>
      <c r="F3" t="s">
        <v>3</v>
      </c>
      <c r="G3">
        <f>COUNTA(A3:A203)</f>
        <v>201</v>
      </c>
      <c r="H3" s="3">
        <f>G3/SUM($G$3:$G$5)</f>
        <v>0.78823529411764703</v>
      </c>
    </row>
    <row r="4" spans="1:8" x14ac:dyDescent="0.25">
      <c r="A4" t="s">
        <v>6</v>
      </c>
      <c r="B4" t="s">
        <v>63</v>
      </c>
      <c r="C4" t="s">
        <v>13</v>
      </c>
      <c r="D4" t="s">
        <v>34</v>
      </c>
      <c r="F4" t="s">
        <v>1</v>
      </c>
      <c r="G4">
        <f>COUNTA(B3:B28)</f>
        <v>26</v>
      </c>
      <c r="H4" s="3">
        <f t="shared" ref="H4:H5" si="0">G4/SUM($G$3:$G$5)</f>
        <v>0.10196078431372549</v>
      </c>
    </row>
    <row r="5" spans="1:8" x14ac:dyDescent="0.25">
      <c r="A5" t="s">
        <v>7</v>
      </c>
      <c r="B5" t="s">
        <v>65</v>
      </c>
      <c r="C5" t="s">
        <v>104</v>
      </c>
      <c r="D5" t="s">
        <v>74</v>
      </c>
      <c r="F5" t="s">
        <v>2</v>
      </c>
      <c r="G5">
        <f>COUNTA(C3:C30)</f>
        <v>28</v>
      </c>
      <c r="H5" s="3">
        <f t="shared" si="0"/>
        <v>0.10980392156862745</v>
      </c>
    </row>
    <row r="6" spans="1:8" x14ac:dyDescent="0.25">
      <c r="A6" t="s">
        <v>8</v>
      </c>
      <c r="B6" t="s">
        <v>68</v>
      </c>
      <c r="C6" t="s">
        <v>110</v>
      </c>
      <c r="D6" t="s">
        <v>260</v>
      </c>
      <c r="F6" t="s">
        <v>19</v>
      </c>
      <c r="G6">
        <f>COUNTA(D3:D7)</f>
        <v>5</v>
      </c>
    </row>
    <row r="7" spans="1:8" x14ac:dyDescent="0.25">
      <c r="A7" t="s">
        <v>9</v>
      </c>
      <c r="B7" t="s">
        <v>73</v>
      </c>
      <c r="C7" t="s">
        <v>199</v>
      </c>
      <c r="D7" t="s">
        <v>264</v>
      </c>
    </row>
    <row r="8" spans="1:8" x14ac:dyDescent="0.25">
      <c r="A8" t="s">
        <v>10</v>
      </c>
      <c r="B8" t="s">
        <v>89</v>
      </c>
      <c r="C8" t="s">
        <v>200</v>
      </c>
    </row>
    <row r="9" spans="1:8" x14ac:dyDescent="0.25">
      <c r="A9" t="s">
        <v>11</v>
      </c>
      <c r="B9" t="s">
        <v>106</v>
      </c>
      <c r="C9" t="s">
        <v>201</v>
      </c>
    </row>
    <row r="10" spans="1:8" x14ac:dyDescent="0.25">
      <c r="A10" t="s">
        <v>12</v>
      </c>
      <c r="B10" t="s">
        <v>111</v>
      </c>
      <c r="C10" t="s">
        <v>202</v>
      </c>
    </row>
    <row r="11" spans="1:8" x14ac:dyDescent="0.25">
      <c r="A11" t="s">
        <v>14</v>
      </c>
      <c r="B11" t="s">
        <v>112</v>
      </c>
      <c r="C11" t="s">
        <v>208</v>
      </c>
    </row>
    <row r="12" spans="1:8" x14ac:dyDescent="0.25">
      <c r="A12" t="s">
        <v>15</v>
      </c>
      <c r="B12" t="s">
        <v>124</v>
      </c>
      <c r="C12" t="s">
        <v>209</v>
      </c>
    </row>
    <row r="13" spans="1:8" x14ac:dyDescent="0.25">
      <c r="A13" t="s">
        <v>16</v>
      </c>
      <c r="B13" t="s">
        <v>125</v>
      </c>
      <c r="C13" t="s">
        <v>210</v>
      </c>
    </row>
    <row r="14" spans="1:8" x14ac:dyDescent="0.25">
      <c r="A14" t="s">
        <v>17</v>
      </c>
      <c r="B14" t="s">
        <v>133</v>
      </c>
      <c r="C14" t="s">
        <v>223</v>
      </c>
    </row>
    <row r="15" spans="1:8" x14ac:dyDescent="0.25">
      <c r="A15" t="s">
        <v>18</v>
      </c>
      <c r="B15" t="s">
        <v>146</v>
      </c>
      <c r="C15" t="s">
        <v>224</v>
      </c>
    </row>
    <row r="16" spans="1:8" x14ac:dyDescent="0.25">
      <c r="A16" t="s">
        <v>21</v>
      </c>
      <c r="B16" t="s">
        <v>156</v>
      </c>
      <c r="C16" t="s">
        <v>225</v>
      </c>
    </row>
    <row r="17" spans="1:3" x14ac:dyDescent="0.25">
      <c r="A17" t="s">
        <v>22</v>
      </c>
      <c r="B17" t="s">
        <v>167</v>
      </c>
      <c r="C17" t="s">
        <v>226</v>
      </c>
    </row>
    <row r="18" spans="1:3" x14ac:dyDescent="0.25">
      <c r="A18" t="s">
        <v>23</v>
      </c>
      <c r="B18" t="s">
        <v>186</v>
      </c>
      <c r="C18" t="s">
        <v>230</v>
      </c>
    </row>
    <row r="19" spans="1:3" x14ac:dyDescent="0.25">
      <c r="A19" t="s">
        <v>24</v>
      </c>
      <c r="B19" t="s">
        <v>194</v>
      </c>
      <c r="C19" t="s">
        <v>231</v>
      </c>
    </row>
    <row r="20" spans="1:3" x14ac:dyDescent="0.25">
      <c r="A20" t="s">
        <v>25</v>
      </c>
      <c r="B20" t="s">
        <v>195</v>
      </c>
      <c r="C20" t="s">
        <v>232</v>
      </c>
    </row>
    <row r="21" spans="1:3" x14ac:dyDescent="0.25">
      <c r="A21" t="s">
        <v>26</v>
      </c>
      <c r="B21" t="s">
        <v>217</v>
      </c>
      <c r="C21" t="s">
        <v>233</v>
      </c>
    </row>
    <row r="22" spans="1:3" x14ac:dyDescent="0.25">
      <c r="A22" t="s">
        <v>27</v>
      </c>
      <c r="B22" t="s">
        <v>222</v>
      </c>
      <c r="C22" t="s">
        <v>234</v>
      </c>
    </row>
    <row r="23" spans="1:3" x14ac:dyDescent="0.25">
      <c r="A23" t="s">
        <v>28</v>
      </c>
      <c r="B23" t="s">
        <v>238</v>
      </c>
      <c r="C23" t="s">
        <v>236</v>
      </c>
    </row>
    <row r="24" spans="1:3" x14ac:dyDescent="0.25">
      <c r="A24" t="s">
        <v>29</v>
      </c>
      <c r="B24" t="s">
        <v>241</v>
      </c>
      <c r="C24" t="s">
        <v>237</v>
      </c>
    </row>
    <row r="25" spans="1:3" x14ac:dyDescent="0.25">
      <c r="A25" t="s">
        <v>30</v>
      </c>
      <c r="B25" t="s">
        <v>246</v>
      </c>
      <c r="C25" t="s">
        <v>239</v>
      </c>
    </row>
    <row r="26" spans="1:3" x14ac:dyDescent="0.25">
      <c r="A26" t="s">
        <v>31</v>
      </c>
      <c r="B26" t="s">
        <v>257</v>
      </c>
      <c r="C26" t="s">
        <v>242</v>
      </c>
    </row>
    <row r="27" spans="1:3" x14ac:dyDescent="0.25">
      <c r="A27" t="s">
        <v>32</v>
      </c>
      <c r="B27" t="s">
        <v>259</v>
      </c>
      <c r="C27" t="s">
        <v>243</v>
      </c>
    </row>
    <row r="28" spans="1:3" x14ac:dyDescent="0.25">
      <c r="A28" t="s">
        <v>33</v>
      </c>
      <c r="B28" t="s">
        <v>261</v>
      </c>
      <c r="C28" t="s">
        <v>244</v>
      </c>
    </row>
    <row r="29" spans="1:3" x14ac:dyDescent="0.25">
      <c r="A29" t="s">
        <v>35</v>
      </c>
      <c r="C29" t="s">
        <v>256</v>
      </c>
    </row>
    <row r="30" spans="1:3" x14ac:dyDescent="0.25">
      <c r="A30" t="s">
        <v>36</v>
      </c>
      <c r="C30" t="s">
        <v>262</v>
      </c>
    </row>
    <row r="31" spans="1:3" x14ac:dyDescent="0.25">
      <c r="A31" t="s">
        <v>37</v>
      </c>
    </row>
    <row r="32" spans="1:3" x14ac:dyDescent="0.25">
      <c r="A32" t="s">
        <v>38</v>
      </c>
    </row>
    <row r="33" spans="1:1" x14ac:dyDescent="0.25">
      <c r="A33" t="s">
        <v>39</v>
      </c>
    </row>
    <row r="34" spans="1:1" x14ac:dyDescent="0.25">
      <c r="A34" t="s">
        <v>40</v>
      </c>
    </row>
    <row r="35" spans="1:1" x14ac:dyDescent="0.25">
      <c r="A35" t="s">
        <v>41</v>
      </c>
    </row>
    <row r="36" spans="1:1" x14ac:dyDescent="0.25">
      <c r="A36" t="s">
        <v>42</v>
      </c>
    </row>
    <row r="37" spans="1:1" x14ac:dyDescent="0.25">
      <c r="A37" t="s">
        <v>43</v>
      </c>
    </row>
    <row r="38" spans="1:1" x14ac:dyDescent="0.25">
      <c r="A38" t="s">
        <v>44</v>
      </c>
    </row>
    <row r="39" spans="1:1" x14ac:dyDescent="0.25">
      <c r="A39" t="s">
        <v>45</v>
      </c>
    </row>
    <row r="40" spans="1:1" x14ac:dyDescent="0.25">
      <c r="A40" t="s">
        <v>46</v>
      </c>
    </row>
    <row r="41" spans="1:1" x14ac:dyDescent="0.25">
      <c r="A41" t="s">
        <v>47</v>
      </c>
    </row>
    <row r="42" spans="1:1" x14ac:dyDescent="0.25">
      <c r="A42" t="s">
        <v>48</v>
      </c>
    </row>
    <row r="43" spans="1:1" x14ac:dyDescent="0.25">
      <c r="A43" t="s">
        <v>49</v>
      </c>
    </row>
    <row r="44" spans="1:1" x14ac:dyDescent="0.25">
      <c r="A44" t="s">
        <v>50</v>
      </c>
    </row>
    <row r="45" spans="1:1" x14ac:dyDescent="0.25">
      <c r="A45" t="s">
        <v>51</v>
      </c>
    </row>
    <row r="46" spans="1:1" x14ac:dyDescent="0.25">
      <c r="A46" t="s">
        <v>52</v>
      </c>
    </row>
    <row r="47" spans="1:1" x14ac:dyDescent="0.25">
      <c r="A47" t="s">
        <v>53</v>
      </c>
    </row>
    <row r="48" spans="1:1" x14ac:dyDescent="0.25">
      <c r="A48" t="s">
        <v>54</v>
      </c>
    </row>
    <row r="49" spans="1:1" x14ac:dyDescent="0.25">
      <c r="A49" t="s">
        <v>55</v>
      </c>
    </row>
    <row r="50" spans="1:1" x14ac:dyDescent="0.25">
      <c r="A50" t="s">
        <v>56</v>
      </c>
    </row>
    <row r="51" spans="1:1" x14ac:dyDescent="0.25">
      <c r="A51" t="s">
        <v>57</v>
      </c>
    </row>
    <row r="52" spans="1:1" x14ac:dyDescent="0.25">
      <c r="A52" t="s">
        <v>58</v>
      </c>
    </row>
    <row r="53" spans="1:1" x14ac:dyDescent="0.25">
      <c r="A53" t="s">
        <v>59</v>
      </c>
    </row>
    <row r="54" spans="1:1" x14ac:dyDescent="0.25">
      <c r="A54" t="s">
        <v>60</v>
      </c>
    </row>
    <row r="55" spans="1:1" x14ac:dyDescent="0.25">
      <c r="A55" t="s">
        <v>61</v>
      </c>
    </row>
    <row r="56" spans="1:1" x14ac:dyDescent="0.25">
      <c r="A56" t="s">
        <v>62</v>
      </c>
    </row>
    <row r="57" spans="1:1" x14ac:dyDescent="0.25">
      <c r="A57" t="s">
        <v>64</v>
      </c>
    </row>
    <row r="58" spans="1:1" x14ac:dyDescent="0.25">
      <c r="A58" t="s">
        <v>66</v>
      </c>
    </row>
    <row r="59" spans="1:1" x14ac:dyDescent="0.25">
      <c r="A59" t="s">
        <v>69</v>
      </c>
    </row>
    <row r="60" spans="1:1" x14ac:dyDescent="0.25">
      <c r="A60" t="s">
        <v>70</v>
      </c>
    </row>
    <row r="61" spans="1:1" x14ac:dyDescent="0.25">
      <c r="A61" t="s">
        <v>71</v>
      </c>
    </row>
    <row r="62" spans="1:1" x14ac:dyDescent="0.25">
      <c r="A62" t="s">
        <v>72</v>
      </c>
    </row>
    <row r="63" spans="1:1" x14ac:dyDescent="0.25">
      <c r="A63" t="s">
        <v>75</v>
      </c>
    </row>
    <row r="64" spans="1:1" x14ac:dyDescent="0.25">
      <c r="A64" t="s">
        <v>76</v>
      </c>
    </row>
    <row r="65" spans="1:1" x14ac:dyDescent="0.25">
      <c r="A65" t="s">
        <v>77</v>
      </c>
    </row>
    <row r="66" spans="1:1" x14ac:dyDescent="0.25">
      <c r="A66" t="s">
        <v>78</v>
      </c>
    </row>
    <row r="67" spans="1:1" x14ac:dyDescent="0.25">
      <c r="A67" t="s">
        <v>79</v>
      </c>
    </row>
    <row r="68" spans="1:1" x14ac:dyDescent="0.25">
      <c r="A68" t="s">
        <v>80</v>
      </c>
    </row>
    <row r="69" spans="1:1" x14ac:dyDescent="0.25">
      <c r="A69" t="s">
        <v>81</v>
      </c>
    </row>
    <row r="70" spans="1:1" x14ac:dyDescent="0.25">
      <c r="A70" t="s">
        <v>82</v>
      </c>
    </row>
    <row r="71" spans="1:1" x14ac:dyDescent="0.25">
      <c r="A71" t="s">
        <v>83</v>
      </c>
    </row>
    <row r="72" spans="1:1" x14ac:dyDescent="0.25">
      <c r="A72" t="s">
        <v>84</v>
      </c>
    </row>
    <row r="73" spans="1:1" x14ac:dyDescent="0.25">
      <c r="A73" t="s">
        <v>85</v>
      </c>
    </row>
    <row r="74" spans="1:1" x14ac:dyDescent="0.25">
      <c r="A74" t="s">
        <v>86</v>
      </c>
    </row>
    <row r="75" spans="1:1" x14ac:dyDescent="0.25">
      <c r="A75" t="s">
        <v>87</v>
      </c>
    </row>
    <row r="76" spans="1:1" x14ac:dyDescent="0.25">
      <c r="A76" t="s">
        <v>88</v>
      </c>
    </row>
    <row r="77" spans="1:1" x14ac:dyDescent="0.25">
      <c r="A77" t="s">
        <v>90</v>
      </c>
    </row>
    <row r="78" spans="1:1" x14ac:dyDescent="0.25">
      <c r="A78" t="s">
        <v>91</v>
      </c>
    </row>
    <row r="79" spans="1:1" x14ac:dyDescent="0.25">
      <c r="A79" t="s">
        <v>92</v>
      </c>
    </row>
    <row r="80" spans="1:1" x14ac:dyDescent="0.25">
      <c r="A80" t="s">
        <v>93</v>
      </c>
    </row>
    <row r="81" spans="1:1" x14ac:dyDescent="0.25">
      <c r="A81" t="s">
        <v>94</v>
      </c>
    </row>
    <row r="82" spans="1:1" x14ac:dyDescent="0.25">
      <c r="A82" t="s">
        <v>95</v>
      </c>
    </row>
    <row r="83" spans="1:1" x14ac:dyDescent="0.25">
      <c r="A83" t="s">
        <v>96</v>
      </c>
    </row>
    <row r="84" spans="1:1" x14ac:dyDescent="0.25">
      <c r="A84" t="s">
        <v>97</v>
      </c>
    </row>
    <row r="85" spans="1:1" x14ac:dyDescent="0.25">
      <c r="A85" t="s">
        <v>98</v>
      </c>
    </row>
    <row r="86" spans="1:1" x14ac:dyDescent="0.25">
      <c r="A86" t="s">
        <v>99</v>
      </c>
    </row>
    <row r="87" spans="1:1" x14ac:dyDescent="0.25">
      <c r="A87" t="s">
        <v>100</v>
      </c>
    </row>
    <row r="88" spans="1:1" x14ac:dyDescent="0.25">
      <c r="A88" t="s">
        <v>101</v>
      </c>
    </row>
    <row r="89" spans="1:1" x14ac:dyDescent="0.25">
      <c r="A89" t="s">
        <v>102</v>
      </c>
    </row>
    <row r="90" spans="1:1" x14ac:dyDescent="0.25">
      <c r="A90" t="s">
        <v>103</v>
      </c>
    </row>
    <row r="91" spans="1:1" x14ac:dyDescent="0.25">
      <c r="A91" t="s">
        <v>105</v>
      </c>
    </row>
    <row r="92" spans="1:1" x14ac:dyDescent="0.25">
      <c r="A92" t="s">
        <v>107</v>
      </c>
    </row>
    <row r="93" spans="1:1" x14ac:dyDescent="0.25">
      <c r="A93" t="s">
        <v>108</v>
      </c>
    </row>
    <row r="94" spans="1:1" x14ac:dyDescent="0.25">
      <c r="A94" t="s">
        <v>109</v>
      </c>
    </row>
    <row r="95" spans="1:1" x14ac:dyDescent="0.25">
      <c r="A95" t="s">
        <v>113</v>
      </c>
    </row>
    <row r="96" spans="1:1" x14ac:dyDescent="0.25">
      <c r="A96" t="s">
        <v>114</v>
      </c>
    </row>
    <row r="97" spans="1:1" x14ac:dyDescent="0.25">
      <c r="A97" t="s">
        <v>115</v>
      </c>
    </row>
    <row r="98" spans="1:1" x14ac:dyDescent="0.25">
      <c r="A98" t="s">
        <v>116</v>
      </c>
    </row>
    <row r="99" spans="1:1" x14ac:dyDescent="0.25">
      <c r="A99" t="s">
        <v>117</v>
      </c>
    </row>
    <row r="100" spans="1:1" x14ac:dyDescent="0.25">
      <c r="A100" t="s">
        <v>118</v>
      </c>
    </row>
    <row r="101" spans="1:1" x14ac:dyDescent="0.25">
      <c r="A101" t="s">
        <v>119</v>
      </c>
    </row>
    <row r="102" spans="1:1" x14ac:dyDescent="0.25">
      <c r="A102" t="s">
        <v>120</v>
      </c>
    </row>
    <row r="103" spans="1:1" x14ac:dyDescent="0.25">
      <c r="A103" t="s">
        <v>121</v>
      </c>
    </row>
    <row r="104" spans="1:1" x14ac:dyDescent="0.25">
      <c r="A104" t="s">
        <v>122</v>
      </c>
    </row>
    <row r="105" spans="1:1" x14ac:dyDescent="0.25">
      <c r="A105" t="s">
        <v>123</v>
      </c>
    </row>
    <row r="106" spans="1:1" x14ac:dyDescent="0.25">
      <c r="A106" t="s">
        <v>126</v>
      </c>
    </row>
    <row r="107" spans="1:1" x14ac:dyDescent="0.25">
      <c r="A107" t="s">
        <v>127</v>
      </c>
    </row>
    <row r="108" spans="1:1" x14ac:dyDescent="0.25">
      <c r="A108" t="s">
        <v>128</v>
      </c>
    </row>
    <row r="109" spans="1:1" x14ac:dyDescent="0.25">
      <c r="A109" t="s">
        <v>129</v>
      </c>
    </row>
    <row r="110" spans="1:1" x14ac:dyDescent="0.25">
      <c r="A110" t="s">
        <v>130</v>
      </c>
    </row>
    <row r="111" spans="1:1" x14ac:dyDescent="0.25">
      <c r="A111" t="s">
        <v>131</v>
      </c>
    </row>
    <row r="112" spans="1:1" x14ac:dyDescent="0.25">
      <c r="A112" t="s">
        <v>132</v>
      </c>
    </row>
    <row r="113" spans="1:1" x14ac:dyDescent="0.25">
      <c r="A113" t="s">
        <v>134</v>
      </c>
    </row>
    <row r="114" spans="1:1" x14ac:dyDescent="0.25">
      <c r="A114" t="s">
        <v>135</v>
      </c>
    </row>
    <row r="115" spans="1:1" x14ac:dyDescent="0.25">
      <c r="A115" t="s">
        <v>136</v>
      </c>
    </row>
    <row r="116" spans="1:1" x14ac:dyDescent="0.25">
      <c r="A116" t="s">
        <v>137</v>
      </c>
    </row>
    <row r="117" spans="1:1" x14ac:dyDescent="0.25">
      <c r="A117" t="s">
        <v>138</v>
      </c>
    </row>
    <row r="118" spans="1:1" x14ac:dyDescent="0.25">
      <c r="A118" t="s">
        <v>139</v>
      </c>
    </row>
    <row r="119" spans="1:1" x14ac:dyDescent="0.25">
      <c r="A119" t="s">
        <v>140</v>
      </c>
    </row>
    <row r="120" spans="1:1" x14ac:dyDescent="0.25">
      <c r="A120" t="s">
        <v>141</v>
      </c>
    </row>
    <row r="121" spans="1:1" x14ac:dyDescent="0.25">
      <c r="A121" t="s">
        <v>142</v>
      </c>
    </row>
    <row r="122" spans="1:1" x14ac:dyDescent="0.25">
      <c r="A122" t="s">
        <v>143</v>
      </c>
    </row>
    <row r="123" spans="1:1" x14ac:dyDescent="0.25">
      <c r="A123" t="s">
        <v>144</v>
      </c>
    </row>
    <row r="124" spans="1:1" x14ac:dyDescent="0.25">
      <c r="A124" t="s">
        <v>145</v>
      </c>
    </row>
    <row r="125" spans="1:1" x14ac:dyDescent="0.25">
      <c r="A125" t="s">
        <v>147</v>
      </c>
    </row>
    <row r="126" spans="1:1" x14ac:dyDescent="0.25">
      <c r="A126" t="s">
        <v>148</v>
      </c>
    </row>
    <row r="127" spans="1:1" x14ac:dyDescent="0.25">
      <c r="A127" t="s">
        <v>149</v>
      </c>
    </row>
    <row r="128" spans="1:1" x14ac:dyDescent="0.25">
      <c r="A128" t="s">
        <v>150</v>
      </c>
    </row>
    <row r="129" spans="1:1" x14ac:dyDescent="0.25">
      <c r="A129" t="s">
        <v>151</v>
      </c>
    </row>
    <row r="130" spans="1:1" x14ac:dyDescent="0.25">
      <c r="A130" t="s">
        <v>152</v>
      </c>
    </row>
    <row r="131" spans="1:1" x14ac:dyDescent="0.25">
      <c r="A131" t="s">
        <v>153</v>
      </c>
    </row>
    <row r="132" spans="1:1" x14ac:dyDescent="0.25">
      <c r="A132" t="s">
        <v>154</v>
      </c>
    </row>
    <row r="133" spans="1:1" x14ac:dyDescent="0.25">
      <c r="A133" t="s">
        <v>155</v>
      </c>
    </row>
    <row r="134" spans="1:1" x14ac:dyDescent="0.25">
      <c r="A134" t="s">
        <v>157</v>
      </c>
    </row>
    <row r="135" spans="1:1" x14ac:dyDescent="0.25">
      <c r="A135" t="s">
        <v>158</v>
      </c>
    </row>
    <row r="136" spans="1:1" x14ac:dyDescent="0.25">
      <c r="A136" t="s">
        <v>159</v>
      </c>
    </row>
    <row r="137" spans="1:1" x14ac:dyDescent="0.25">
      <c r="A137" t="s">
        <v>160</v>
      </c>
    </row>
    <row r="138" spans="1:1" x14ac:dyDescent="0.25">
      <c r="A138" t="s">
        <v>161</v>
      </c>
    </row>
    <row r="139" spans="1:1" x14ac:dyDescent="0.25">
      <c r="A139" t="s">
        <v>162</v>
      </c>
    </row>
    <row r="140" spans="1:1" x14ac:dyDescent="0.25">
      <c r="A140" t="s">
        <v>163</v>
      </c>
    </row>
    <row r="141" spans="1:1" x14ac:dyDescent="0.25">
      <c r="A141" t="s">
        <v>164</v>
      </c>
    </row>
    <row r="142" spans="1:1" x14ac:dyDescent="0.25">
      <c r="A142" t="s">
        <v>165</v>
      </c>
    </row>
    <row r="143" spans="1:1" x14ac:dyDescent="0.25">
      <c r="A143" t="s">
        <v>166</v>
      </c>
    </row>
    <row r="144" spans="1:1" x14ac:dyDescent="0.25">
      <c r="A144" t="s">
        <v>168</v>
      </c>
    </row>
    <row r="145" spans="1:1" x14ac:dyDescent="0.25">
      <c r="A145" t="s">
        <v>169</v>
      </c>
    </row>
    <row r="146" spans="1:1" x14ac:dyDescent="0.25">
      <c r="A146" t="s">
        <v>170</v>
      </c>
    </row>
    <row r="147" spans="1:1" x14ac:dyDescent="0.25">
      <c r="A147" t="s">
        <v>171</v>
      </c>
    </row>
    <row r="148" spans="1:1" x14ac:dyDescent="0.25">
      <c r="A148" t="s">
        <v>172</v>
      </c>
    </row>
    <row r="149" spans="1:1" x14ac:dyDescent="0.25">
      <c r="A149" t="s">
        <v>173</v>
      </c>
    </row>
    <row r="150" spans="1:1" x14ac:dyDescent="0.25">
      <c r="A150" t="s">
        <v>174</v>
      </c>
    </row>
    <row r="151" spans="1:1" x14ac:dyDescent="0.25">
      <c r="A151" t="s">
        <v>175</v>
      </c>
    </row>
    <row r="152" spans="1:1" x14ac:dyDescent="0.25">
      <c r="A152" t="s">
        <v>176</v>
      </c>
    </row>
    <row r="153" spans="1:1" x14ac:dyDescent="0.25">
      <c r="A153" t="s">
        <v>177</v>
      </c>
    </row>
    <row r="154" spans="1:1" x14ac:dyDescent="0.25">
      <c r="A154" t="s">
        <v>178</v>
      </c>
    </row>
    <row r="155" spans="1:1" x14ac:dyDescent="0.25">
      <c r="A155" t="s">
        <v>179</v>
      </c>
    </row>
    <row r="156" spans="1:1" x14ac:dyDescent="0.25">
      <c r="A156" t="s">
        <v>180</v>
      </c>
    </row>
    <row r="157" spans="1:1" x14ac:dyDescent="0.25">
      <c r="A157" t="s">
        <v>181</v>
      </c>
    </row>
    <row r="158" spans="1:1" x14ac:dyDescent="0.25">
      <c r="A158" t="s">
        <v>182</v>
      </c>
    </row>
    <row r="159" spans="1:1" x14ac:dyDescent="0.25">
      <c r="A159" t="s">
        <v>183</v>
      </c>
    </row>
    <row r="160" spans="1:1" x14ac:dyDescent="0.25">
      <c r="A160" t="s">
        <v>184</v>
      </c>
    </row>
    <row r="161" spans="1:1" x14ac:dyDescent="0.25">
      <c r="A161" t="s">
        <v>185</v>
      </c>
    </row>
    <row r="162" spans="1:1" x14ac:dyDescent="0.25">
      <c r="A162" t="s">
        <v>187</v>
      </c>
    </row>
    <row r="163" spans="1:1" x14ac:dyDescent="0.25">
      <c r="A163" t="s">
        <v>188</v>
      </c>
    </row>
    <row r="164" spans="1:1" x14ac:dyDescent="0.25">
      <c r="A164" t="s">
        <v>189</v>
      </c>
    </row>
    <row r="165" spans="1:1" x14ac:dyDescent="0.25">
      <c r="A165" t="s">
        <v>190</v>
      </c>
    </row>
    <row r="166" spans="1:1" x14ac:dyDescent="0.25">
      <c r="A166" t="s">
        <v>191</v>
      </c>
    </row>
    <row r="167" spans="1:1" x14ac:dyDescent="0.25">
      <c r="A167" t="s">
        <v>192</v>
      </c>
    </row>
    <row r="168" spans="1:1" x14ac:dyDescent="0.25">
      <c r="A168" t="s">
        <v>193</v>
      </c>
    </row>
    <row r="169" spans="1:1" x14ac:dyDescent="0.25">
      <c r="A169" t="s">
        <v>196</v>
      </c>
    </row>
    <row r="170" spans="1:1" x14ac:dyDescent="0.25">
      <c r="A170" t="s">
        <v>197</v>
      </c>
    </row>
    <row r="171" spans="1:1" x14ac:dyDescent="0.25">
      <c r="A171" t="s">
        <v>198</v>
      </c>
    </row>
    <row r="172" spans="1:1" x14ac:dyDescent="0.25">
      <c r="A172" t="s">
        <v>203</v>
      </c>
    </row>
    <row r="173" spans="1:1" x14ac:dyDescent="0.25">
      <c r="A173" t="s">
        <v>204</v>
      </c>
    </row>
    <row r="174" spans="1:1" x14ac:dyDescent="0.25">
      <c r="A174" t="s">
        <v>205</v>
      </c>
    </row>
    <row r="175" spans="1:1" x14ac:dyDescent="0.25">
      <c r="A175" t="s">
        <v>206</v>
      </c>
    </row>
    <row r="176" spans="1:1" x14ac:dyDescent="0.25">
      <c r="A176" t="s">
        <v>207</v>
      </c>
    </row>
    <row r="177" spans="1:1" x14ac:dyDescent="0.25">
      <c r="A177" t="s">
        <v>211</v>
      </c>
    </row>
    <row r="178" spans="1:1" x14ac:dyDescent="0.25">
      <c r="A178" t="s">
        <v>212</v>
      </c>
    </row>
    <row r="179" spans="1:1" x14ac:dyDescent="0.25">
      <c r="A179" t="s">
        <v>213</v>
      </c>
    </row>
    <row r="180" spans="1:1" x14ac:dyDescent="0.25">
      <c r="A180" t="s">
        <v>214</v>
      </c>
    </row>
    <row r="181" spans="1:1" x14ac:dyDescent="0.25">
      <c r="A181" t="s">
        <v>215</v>
      </c>
    </row>
    <row r="182" spans="1:1" x14ac:dyDescent="0.25">
      <c r="A182" t="s">
        <v>216</v>
      </c>
    </row>
    <row r="183" spans="1:1" x14ac:dyDescent="0.25">
      <c r="A183" t="s">
        <v>218</v>
      </c>
    </row>
    <row r="184" spans="1:1" x14ac:dyDescent="0.25">
      <c r="A184" t="s">
        <v>219</v>
      </c>
    </row>
    <row r="185" spans="1:1" x14ac:dyDescent="0.25">
      <c r="A185" t="s">
        <v>220</v>
      </c>
    </row>
    <row r="186" spans="1:1" x14ac:dyDescent="0.25">
      <c r="A186" t="s">
        <v>221</v>
      </c>
    </row>
    <row r="187" spans="1:1" x14ac:dyDescent="0.25">
      <c r="A187" t="s">
        <v>227</v>
      </c>
    </row>
    <row r="188" spans="1:1" x14ac:dyDescent="0.25">
      <c r="A188" t="s">
        <v>228</v>
      </c>
    </row>
    <row r="189" spans="1:1" x14ac:dyDescent="0.25">
      <c r="A189" t="s">
        <v>229</v>
      </c>
    </row>
    <row r="190" spans="1:1" x14ac:dyDescent="0.25">
      <c r="A190" t="s">
        <v>235</v>
      </c>
    </row>
    <row r="191" spans="1:1" x14ac:dyDescent="0.25">
      <c r="A191" t="s">
        <v>240</v>
      </c>
    </row>
    <row r="192" spans="1:1" x14ac:dyDescent="0.25">
      <c r="A192" t="s">
        <v>245</v>
      </c>
    </row>
    <row r="193" spans="1:8" x14ac:dyDescent="0.25">
      <c r="A193" t="s">
        <v>247</v>
      </c>
    </row>
    <row r="194" spans="1:8" x14ac:dyDescent="0.25">
      <c r="A194" t="s">
        <v>248</v>
      </c>
    </row>
    <row r="195" spans="1:8" x14ac:dyDescent="0.25">
      <c r="A195" t="s">
        <v>249</v>
      </c>
    </row>
    <row r="196" spans="1:8" x14ac:dyDescent="0.25">
      <c r="A196" t="s">
        <v>250</v>
      </c>
    </row>
    <row r="197" spans="1:8" x14ac:dyDescent="0.25">
      <c r="A197" t="s">
        <v>251</v>
      </c>
    </row>
    <row r="198" spans="1:8" x14ac:dyDescent="0.25">
      <c r="A198" t="s">
        <v>252</v>
      </c>
    </row>
    <row r="199" spans="1:8" x14ac:dyDescent="0.25">
      <c r="A199" t="s">
        <v>253</v>
      </c>
    </row>
    <row r="200" spans="1:8" x14ac:dyDescent="0.25">
      <c r="A200" t="s">
        <v>254</v>
      </c>
    </row>
    <row r="201" spans="1:8" x14ac:dyDescent="0.25">
      <c r="A201" t="s">
        <v>255</v>
      </c>
    </row>
    <row r="202" spans="1:8" x14ac:dyDescent="0.25">
      <c r="A202" t="s">
        <v>258</v>
      </c>
    </row>
    <row r="203" spans="1:8" x14ac:dyDescent="0.25">
      <c r="A203" t="s">
        <v>263</v>
      </c>
    </row>
    <row r="205" spans="1:8" x14ac:dyDescent="0.25">
      <c r="A205" s="2" t="s">
        <v>268</v>
      </c>
    </row>
    <row r="206" spans="1:8" x14ac:dyDescent="0.25">
      <c r="A206" s="1" t="s">
        <v>3</v>
      </c>
      <c r="B206" s="1" t="s">
        <v>1</v>
      </c>
      <c r="C206" s="1" t="s">
        <v>2</v>
      </c>
      <c r="D206" s="1" t="s">
        <v>19</v>
      </c>
      <c r="E206" s="1"/>
      <c r="F206" s="1" t="s">
        <v>265</v>
      </c>
      <c r="G206" s="1" t="s">
        <v>266</v>
      </c>
      <c r="H206" s="1" t="s">
        <v>267</v>
      </c>
    </row>
    <row r="207" spans="1:8" s="4" customFormat="1" x14ac:dyDescent="0.25">
      <c r="A207" s="4" t="s">
        <v>6</v>
      </c>
      <c r="B207" s="4" t="s">
        <v>238</v>
      </c>
      <c r="C207" s="4" t="s">
        <v>142</v>
      </c>
      <c r="D207" s="4" t="s">
        <v>34</v>
      </c>
      <c r="F207" s="4" t="s">
        <v>3</v>
      </c>
      <c r="G207" s="4">
        <f>COUNTA(A207:A310)</f>
        <v>104</v>
      </c>
      <c r="H207" s="5">
        <f>G207/SUM($G$3:$G$5)</f>
        <v>0.40784313725490196</v>
      </c>
    </row>
    <row r="208" spans="1:8" s="4" customFormat="1" x14ac:dyDescent="0.25">
      <c r="A208" s="4" t="s">
        <v>10</v>
      </c>
      <c r="B208" s="4" t="s">
        <v>67</v>
      </c>
      <c r="C208" s="4" t="s">
        <v>223</v>
      </c>
      <c r="D208" s="4" t="s">
        <v>20</v>
      </c>
      <c r="F208" s="4" t="s">
        <v>1</v>
      </c>
      <c r="G208" s="4">
        <f>COUNTA(B207:B214)</f>
        <v>8</v>
      </c>
      <c r="H208" s="5">
        <f t="shared" ref="H208:H209" si="1">G208/SUM($G$3:$G$5)</f>
        <v>3.1372549019607843E-2</v>
      </c>
    </row>
    <row r="209" spans="1:8" s="4" customFormat="1" x14ac:dyDescent="0.25">
      <c r="A209" s="4" t="s">
        <v>4</v>
      </c>
      <c r="B209" s="4" t="s">
        <v>111</v>
      </c>
      <c r="C209" s="4" t="s">
        <v>270</v>
      </c>
      <c r="F209" s="4" t="s">
        <v>2</v>
      </c>
      <c r="G209" s="4">
        <f>COUNTA(C207:C219)</f>
        <v>13</v>
      </c>
      <c r="H209" s="5">
        <f t="shared" si="1"/>
        <v>5.0980392156862744E-2</v>
      </c>
    </row>
    <row r="210" spans="1:8" s="4" customFormat="1" x14ac:dyDescent="0.25">
      <c r="A210" s="4" t="s">
        <v>33</v>
      </c>
      <c r="B210" s="4" t="s">
        <v>124</v>
      </c>
      <c r="C210" s="4" t="s">
        <v>53</v>
      </c>
      <c r="F210" s="4" t="s">
        <v>19</v>
      </c>
      <c r="G210" s="4">
        <f>COUNTA(D211:D211)</f>
        <v>0</v>
      </c>
    </row>
    <row r="211" spans="1:8" x14ac:dyDescent="0.25">
      <c r="A211" t="s">
        <v>114</v>
      </c>
      <c r="B211" t="s">
        <v>125</v>
      </c>
      <c r="C211" t="s">
        <v>13</v>
      </c>
    </row>
    <row r="212" spans="1:8" x14ac:dyDescent="0.25">
      <c r="A212" t="s">
        <v>15</v>
      </c>
      <c r="B212" t="s">
        <v>251</v>
      </c>
      <c r="C212" t="s">
        <v>110</v>
      </c>
    </row>
    <row r="213" spans="1:8" x14ac:dyDescent="0.25">
      <c r="A213" t="s">
        <v>32</v>
      </c>
      <c r="B213" t="s">
        <v>196</v>
      </c>
      <c r="C213" t="s">
        <v>5</v>
      </c>
    </row>
    <row r="214" spans="1:8" x14ac:dyDescent="0.25">
      <c r="A214" t="s">
        <v>203</v>
      </c>
      <c r="B214" t="s">
        <v>144</v>
      </c>
      <c r="C214" t="s">
        <v>22</v>
      </c>
    </row>
    <row r="215" spans="1:8" x14ac:dyDescent="0.25">
      <c r="A215" t="s">
        <v>21</v>
      </c>
      <c r="C215" t="s">
        <v>231</v>
      </c>
    </row>
    <row r="216" spans="1:8" x14ac:dyDescent="0.25">
      <c r="A216" t="s">
        <v>130</v>
      </c>
      <c r="C216" t="s">
        <v>226</v>
      </c>
    </row>
    <row r="217" spans="1:8" x14ac:dyDescent="0.25">
      <c r="A217" t="s">
        <v>8</v>
      </c>
      <c r="C217" t="s">
        <v>104</v>
      </c>
    </row>
    <row r="218" spans="1:8" x14ac:dyDescent="0.25">
      <c r="A218" t="s">
        <v>18</v>
      </c>
      <c r="C218" t="s">
        <v>150</v>
      </c>
    </row>
    <row r="219" spans="1:8" x14ac:dyDescent="0.25">
      <c r="A219" t="s">
        <v>82</v>
      </c>
      <c r="C219" t="s">
        <v>262</v>
      </c>
    </row>
    <row r="220" spans="1:8" x14ac:dyDescent="0.25">
      <c r="A220" t="s">
        <v>139</v>
      </c>
    </row>
    <row r="221" spans="1:8" x14ac:dyDescent="0.25">
      <c r="A221" t="s">
        <v>48</v>
      </c>
    </row>
    <row r="222" spans="1:8" x14ac:dyDescent="0.25">
      <c r="A222" t="s">
        <v>191</v>
      </c>
    </row>
    <row r="223" spans="1:8" x14ac:dyDescent="0.25">
      <c r="A223" t="s">
        <v>11</v>
      </c>
    </row>
    <row r="224" spans="1:8" x14ac:dyDescent="0.25">
      <c r="A224" t="s">
        <v>25</v>
      </c>
    </row>
    <row r="225" spans="1:1" x14ac:dyDescent="0.25">
      <c r="A225" t="s">
        <v>12</v>
      </c>
    </row>
    <row r="226" spans="1:1" x14ac:dyDescent="0.25">
      <c r="A226" t="s">
        <v>134</v>
      </c>
    </row>
    <row r="227" spans="1:1" x14ac:dyDescent="0.25">
      <c r="A227" t="s">
        <v>108</v>
      </c>
    </row>
    <row r="228" spans="1:1" x14ac:dyDescent="0.25">
      <c r="A228" t="s">
        <v>42</v>
      </c>
    </row>
    <row r="229" spans="1:1" x14ac:dyDescent="0.25">
      <c r="A229" t="s">
        <v>57</v>
      </c>
    </row>
    <row r="230" spans="1:1" x14ac:dyDescent="0.25">
      <c r="A230" t="s">
        <v>43</v>
      </c>
    </row>
    <row r="231" spans="1:1" x14ac:dyDescent="0.25">
      <c r="A231" t="s">
        <v>55</v>
      </c>
    </row>
    <row r="232" spans="1:1" x14ac:dyDescent="0.25">
      <c r="A232" t="s">
        <v>131</v>
      </c>
    </row>
    <row r="233" spans="1:1" x14ac:dyDescent="0.25">
      <c r="A233" t="s">
        <v>24</v>
      </c>
    </row>
    <row r="234" spans="1:1" x14ac:dyDescent="0.25">
      <c r="A234" t="s">
        <v>147</v>
      </c>
    </row>
    <row r="235" spans="1:1" x14ac:dyDescent="0.25">
      <c r="A235" t="s">
        <v>50</v>
      </c>
    </row>
    <row r="236" spans="1:1" x14ac:dyDescent="0.25">
      <c r="A236" t="s">
        <v>126</v>
      </c>
    </row>
    <row r="237" spans="1:1" x14ac:dyDescent="0.25">
      <c r="A237" t="s">
        <v>40</v>
      </c>
    </row>
    <row r="238" spans="1:1" x14ac:dyDescent="0.25">
      <c r="A238" t="s">
        <v>66</v>
      </c>
    </row>
    <row r="239" spans="1:1" x14ac:dyDescent="0.25">
      <c r="A239" t="s">
        <v>29</v>
      </c>
    </row>
    <row r="240" spans="1:1" x14ac:dyDescent="0.25">
      <c r="A240" t="s">
        <v>176</v>
      </c>
    </row>
    <row r="241" spans="1:1" x14ac:dyDescent="0.25">
      <c r="A241" t="s">
        <v>70</v>
      </c>
    </row>
    <row r="242" spans="1:1" x14ac:dyDescent="0.25">
      <c r="A242" t="s">
        <v>31</v>
      </c>
    </row>
    <row r="243" spans="1:1" x14ac:dyDescent="0.25">
      <c r="A243" t="s">
        <v>68</v>
      </c>
    </row>
    <row r="244" spans="1:1" x14ac:dyDescent="0.25">
      <c r="A244" t="s">
        <v>229</v>
      </c>
    </row>
    <row r="245" spans="1:1" x14ac:dyDescent="0.25">
      <c r="A245" t="s">
        <v>81</v>
      </c>
    </row>
    <row r="246" spans="1:1" x14ac:dyDescent="0.25">
      <c r="A246" t="s">
        <v>136</v>
      </c>
    </row>
    <row r="247" spans="1:1" x14ac:dyDescent="0.25">
      <c r="A247" t="s">
        <v>14</v>
      </c>
    </row>
    <row r="248" spans="1:1" x14ac:dyDescent="0.25">
      <c r="A248" t="s">
        <v>90</v>
      </c>
    </row>
    <row r="249" spans="1:1" x14ac:dyDescent="0.25">
      <c r="A249" t="s">
        <v>56</v>
      </c>
    </row>
    <row r="250" spans="1:1" x14ac:dyDescent="0.25">
      <c r="A250" t="s">
        <v>52</v>
      </c>
    </row>
    <row r="251" spans="1:1" x14ac:dyDescent="0.25">
      <c r="A251" t="s">
        <v>249</v>
      </c>
    </row>
    <row r="252" spans="1:1" x14ac:dyDescent="0.25">
      <c r="A252" t="s">
        <v>78</v>
      </c>
    </row>
    <row r="253" spans="1:1" x14ac:dyDescent="0.25">
      <c r="A253" t="s">
        <v>26</v>
      </c>
    </row>
    <row r="254" spans="1:1" x14ac:dyDescent="0.25">
      <c r="A254" t="s">
        <v>35</v>
      </c>
    </row>
    <row r="255" spans="1:1" x14ac:dyDescent="0.25">
      <c r="A255" t="s">
        <v>17</v>
      </c>
    </row>
    <row r="256" spans="1:1" x14ac:dyDescent="0.25">
      <c r="A256" t="s">
        <v>80</v>
      </c>
    </row>
    <row r="257" spans="1:1" x14ac:dyDescent="0.25">
      <c r="A257" t="s">
        <v>179</v>
      </c>
    </row>
    <row r="258" spans="1:1" x14ac:dyDescent="0.25">
      <c r="A258" t="s">
        <v>207</v>
      </c>
    </row>
    <row r="259" spans="1:1" x14ac:dyDescent="0.25">
      <c r="A259" t="s">
        <v>44</v>
      </c>
    </row>
    <row r="260" spans="1:1" x14ac:dyDescent="0.25">
      <c r="A260" t="s">
        <v>269</v>
      </c>
    </row>
    <row r="261" spans="1:1" x14ac:dyDescent="0.25">
      <c r="A261" t="s">
        <v>132</v>
      </c>
    </row>
    <row r="262" spans="1:1" x14ac:dyDescent="0.25">
      <c r="A262" t="s">
        <v>92</v>
      </c>
    </row>
    <row r="263" spans="1:1" x14ac:dyDescent="0.25">
      <c r="A263" t="s">
        <v>205</v>
      </c>
    </row>
    <row r="264" spans="1:1" x14ac:dyDescent="0.25">
      <c r="A264" t="s">
        <v>84</v>
      </c>
    </row>
    <row r="265" spans="1:1" x14ac:dyDescent="0.25">
      <c r="A265" t="s">
        <v>157</v>
      </c>
    </row>
    <row r="266" spans="1:1" x14ac:dyDescent="0.25">
      <c r="A266" t="s">
        <v>61</v>
      </c>
    </row>
    <row r="267" spans="1:1" x14ac:dyDescent="0.25">
      <c r="A267" t="s">
        <v>271</v>
      </c>
    </row>
    <row r="268" spans="1:1" x14ac:dyDescent="0.25">
      <c r="A268" t="s">
        <v>213</v>
      </c>
    </row>
    <row r="269" spans="1:1" x14ac:dyDescent="0.25">
      <c r="A269" t="s">
        <v>30</v>
      </c>
    </row>
    <row r="270" spans="1:1" x14ac:dyDescent="0.25">
      <c r="A270" t="s">
        <v>60</v>
      </c>
    </row>
    <row r="271" spans="1:1" x14ac:dyDescent="0.25">
      <c r="A271" t="s">
        <v>87</v>
      </c>
    </row>
    <row r="272" spans="1:1" x14ac:dyDescent="0.25">
      <c r="A272" t="s">
        <v>9</v>
      </c>
    </row>
    <row r="273" spans="1:1" x14ac:dyDescent="0.25">
      <c r="A273" t="s">
        <v>185</v>
      </c>
    </row>
    <row r="274" spans="1:1" x14ac:dyDescent="0.25">
      <c r="A274" t="s">
        <v>49</v>
      </c>
    </row>
    <row r="275" spans="1:1" x14ac:dyDescent="0.25">
      <c r="A275" t="s">
        <v>253</v>
      </c>
    </row>
    <row r="276" spans="1:1" x14ac:dyDescent="0.25">
      <c r="A276" t="s">
        <v>119</v>
      </c>
    </row>
    <row r="277" spans="1:1" x14ac:dyDescent="0.25">
      <c r="A277" t="s">
        <v>95</v>
      </c>
    </row>
    <row r="278" spans="1:1" x14ac:dyDescent="0.25">
      <c r="A278" t="s">
        <v>86</v>
      </c>
    </row>
    <row r="279" spans="1:1" x14ac:dyDescent="0.25">
      <c r="A279" t="s">
        <v>16</v>
      </c>
    </row>
    <row r="280" spans="1:1" x14ac:dyDescent="0.25">
      <c r="A280" t="s">
        <v>91</v>
      </c>
    </row>
    <row r="281" spans="1:1" x14ac:dyDescent="0.25">
      <c r="A281" t="s">
        <v>161</v>
      </c>
    </row>
    <row r="282" spans="1:1" x14ac:dyDescent="0.25">
      <c r="A282" t="s">
        <v>28</v>
      </c>
    </row>
    <row r="283" spans="1:1" x14ac:dyDescent="0.25">
      <c r="A283" t="s">
        <v>47</v>
      </c>
    </row>
    <row r="284" spans="1:1" x14ac:dyDescent="0.25">
      <c r="A284" t="s">
        <v>85</v>
      </c>
    </row>
    <row r="285" spans="1:1" x14ac:dyDescent="0.25">
      <c r="A285" t="s">
        <v>23</v>
      </c>
    </row>
    <row r="286" spans="1:1" x14ac:dyDescent="0.25">
      <c r="A286" t="s">
        <v>54</v>
      </c>
    </row>
    <row r="287" spans="1:1" x14ac:dyDescent="0.25">
      <c r="A287" t="s">
        <v>41</v>
      </c>
    </row>
    <row r="288" spans="1:1" x14ac:dyDescent="0.25">
      <c r="A288" t="s">
        <v>72</v>
      </c>
    </row>
    <row r="289" spans="1:1" x14ac:dyDescent="0.25">
      <c r="A289" t="s">
        <v>206</v>
      </c>
    </row>
    <row r="290" spans="1:1" x14ac:dyDescent="0.25">
      <c r="A290" t="s">
        <v>245</v>
      </c>
    </row>
    <row r="291" spans="1:1" x14ac:dyDescent="0.25">
      <c r="A291" t="s">
        <v>254</v>
      </c>
    </row>
    <row r="292" spans="1:1" x14ac:dyDescent="0.25">
      <c r="A292" t="s">
        <v>51</v>
      </c>
    </row>
    <row r="293" spans="1:1" x14ac:dyDescent="0.25">
      <c r="A293" t="s">
        <v>46</v>
      </c>
    </row>
    <row r="294" spans="1:1" x14ac:dyDescent="0.25">
      <c r="A294" t="s">
        <v>250</v>
      </c>
    </row>
    <row r="295" spans="1:1" x14ac:dyDescent="0.25">
      <c r="A295" t="s">
        <v>79</v>
      </c>
    </row>
    <row r="296" spans="1:1" x14ac:dyDescent="0.25">
      <c r="A296" t="s">
        <v>94</v>
      </c>
    </row>
    <row r="297" spans="1:1" x14ac:dyDescent="0.25">
      <c r="A297" t="s">
        <v>27</v>
      </c>
    </row>
    <row r="298" spans="1:1" x14ac:dyDescent="0.25">
      <c r="A298" t="s">
        <v>120</v>
      </c>
    </row>
    <row r="299" spans="1:1" x14ac:dyDescent="0.25">
      <c r="A299" t="s">
        <v>89</v>
      </c>
    </row>
    <row r="300" spans="1:1" x14ac:dyDescent="0.25">
      <c r="A300" t="s">
        <v>7</v>
      </c>
    </row>
    <row r="301" spans="1:1" x14ac:dyDescent="0.25">
      <c r="A301" t="s">
        <v>45</v>
      </c>
    </row>
    <row r="302" spans="1:1" x14ac:dyDescent="0.25">
      <c r="A302" t="s">
        <v>141</v>
      </c>
    </row>
    <row r="303" spans="1:1" x14ac:dyDescent="0.25">
      <c r="A303" t="s">
        <v>37</v>
      </c>
    </row>
    <row r="304" spans="1:1" x14ac:dyDescent="0.25">
      <c r="A304" t="s">
        <v>248</v>
      </c>
    </row>
    <row r="305" spans="1:8" x14ac:dyDescent="0.25">
      <c r="A305" t="s">
        <v>39</v>
      </c>
    </row>
    <row r="306" spans="1:8" x14ac:dyDescent="0.25">
      <c r="A306" t="s">
        <v>148</v>
      </c>
    </row>
    <row r="307" spans="1:8" x14ac:dyDescent="0.25">
      <c r="A307" t="s">
        <v>218</v>
      </c>
    </row>
    <row r="308" spans="1:8" x14ac:dyDescent="0.25">
      <c r="A308" t="s">
        <v>166</v>
      </c>
    </row>
    <row r="309" spans="1:8" x14ac:dyDescent="0.25">
      <c r="A309" t="s">
        <v>272</v>
      </c>
    </row>
    <row r="310" spans="1:8" x14ac:dyDescent="0.25">
      <c r="A310" t="s">
        <v>71</v>
      </c>
    </row>
    <row r="312" spans="1:8" x14ac:dyDescent="0.25">
      <c r="A312" s="2" t="s">
        <v>273</v>
      </c>
    </row>
    <row r="313" spans="1:8" x14ac:dyDescent="0.25">
      <c r="A313" s="1" t="s">
        <v>3</v>
      </c>
      <c r="B313" s="1" t="s">
        <v>1</v>
      </c>
      <c r="C313" s="1" t="s">
        <v>2</v>
      </c>
      <c r="D313" s="1" t="s">
        <v>19</v>
      </c>
      <c r="E313" s="1"/>
      <c r="F313" s="1" t="s">
        <v>265</v>
      </c>
      <c r="G313" s="1" t="s">
        <v>266</v>
      </c>
      <c r="H313" s="1" t="s">
        <v>267</v>
      </c>
    </row>
    <row r="314" spans="1:8" x14ac:dyDescent="0.25">
      <c r="A314" s="4" t="s">
        <v>35</v>
      </c>
      <c r="B314" t="s">
        <v>111</v>
      </c>
      <c r="D314" t="s">
        <v>34</v>
      </c>
      <c r="F314" s="4" t="s">
        <v>3</v>
      </c>
      <c r="G314" s="4">
        <f>COUNTA(A314:A338)</f>
        <v>25</v>
      </c>
      <c r="H314" s="5">
        <f>G314/SUM($G$3:$G$5)</f>
        <v>9.8039215686274508E-2</v>
      </c>
    </row>
    <row r="315" spans="1:8" x14ac:dyDescent="0.25">
      <c r="A315" s="4" t="s">
        <v>25</v>
      </c>
      <c r="B315" t="s">
        <v>63</v>
      </c>
      <c r="F315" s="4" t="s">
        <v>1</v>
      </c>
      <c r="G315" s="4">
        <f>COUNTA(B314:B315)</f>
        <v>2</v>
      </c>
      <c r="H315" s="5">
        <f t="shared" ref="H315:H316" si="2">G315/SUM($G$3:$G$5)</f>
        <v>7.8431372549019607E-3</v>
      </c>
    </row>
    <row r="316" spans="1:8" x14ac:dyDescent="0.25">
      <c r="A316" s="4" t="s">
        <v>99</v>
      </c>
      <c r="F316" s="4" t="s">
        <v>2</v>
      </c>
      <c r="G316" s="4">
        <f>COUNTA(C318:C326)</f>
        <v>0</v>
      </c>
      <c r="H316" s="5">
        <f t="shared" si="2"/>
        <v>0</v>
      </c>
    </row>
    <row r="317" spans="1:8" x14ac:dyDescent="0.25">
      <c r="A317" s="4" t="s">
        <v>37</v>
      </c>
      <c r="F317" s="4" t="s">
        <v>19</v>
      </c>
      <c r="G317" s="4">
        <f>COUNTA(D318:D318)</f>
        <v>0</v>
      </c>
      <c r="H317" s="4"/>
    </row>
    <row r="318" spans="1:8" x14ac:dyDescent="0.25">
      <c r="A318" t="s">
        <v>7</v>
      </c>
    </row>
    <row r="319" spans="1:8" x14ac:dyDescent="0.25">
      <c r="A319" t="s">
        <v>22</v>
      </c>
    </row>
    <row r="320" spans="1:8" x14ac:dyDescent="0.25">
      <c r="A320" t="s">
        <v>96</v>
      </c>
    </row>
    <row r="321" spans="1:1" x14ac:dyDescent="0.25">
      <c r="A321" t="s">
        <v>212</v>
      </c>
    </row>
    <row r="322" spans="1:1" x14ac:dyDescent="0.25">
      <c r="A322" t="s">
        <v>274</v>
      </c>
    </row>
    <row r="323" spans="1:1" x14ac:dyDescent="0.25">
      <c r="A323" t="s">
        <v>82</v>
      </c>
    </row>
    <row r="324" spans="1:1" x14ac:dyDescent="0.25">
      <c r="A324" t="s">
        <v>13</v>
      </c>
    </row>
    <row r="325" spans="1:1" x14ac:dyDescent="0.25">
      <c r="A325" t="s">
        <v>143</v>
      </c>
    </row>
    <row r="326" spans="1:1" x14ac:dyDescent="0.25">
      <c r="A326" t="s">
        <v>76</v>
      </c>
    </row>
    <row r="327" spans="1:1" x14ac:dyDescent="0.25">
      <c r="A327" t="s">
        <v>30</v>
      </c>
    </row>
    <row r="328" spans="1:1" x14ac:dyDescent="0.25">
      <c r="A328" t="s">
        <v>39</v>
      </c>
    </row>
    <row r="329" spans="1:1" x14ac:dyDescent="0.25">
      <c r="A329" t="s">
        <v>70</v>
      </c>
    </row>
    <row r="330" spans="1:1" x14ac:dyDescent="0.25">
      <c r="A330" t="s">
        <v>9</v>
      </c>
    </row>
    <row r="331" spans="1:1" x14ac:dyDescent="0.25">
      <c r="A331" t="s">
        <v>119</v>
      </c>
    </row>
    <row r="332" spans="1:1" x14ac:dyDescent="0.25">
      <c r="A332" t="s">
        <v>54</v>
      </c>
    </row>
    <row r="333" spans="1:1" x14ac:dyDescent="0.25">
      <c r="A333" t="s">
        <v>101</v>
      </c>
    </row>
    <row r="334" spans="1:1" x14ac:dyDescent="0.25">
      <c r="A334" t="s">
        <v>11</v>
      </c>
    </row>
    <row r="335" spans="1:1" x14ac:dyDescent="0.25">
      <c r="A335" t="s">
        <v>44</v>
      </c>
    </row>
    <row r="336" spans="1:1" x14ac:dyDescent="0.25">
      <c r="A336" t="s">
        <v>78</v>
      </c>
    </row>
    <row r="337" spans="1:1" x14ac:dyDescent="0.25">
      <c r="A337" t="s">
        <v>50</v>
      </c>
    </row>
    <row r="338" spans="1:1" x14ac:dyDescent="0.25">
      <c r="A338" t="s">
        <v>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 16</dc:creator>
  <cp:lastModifiedBy>Franz 16</cp:lastModifiedBy>
  <dcterms:created xsi:type="dcterms:W3CDTF">2026-08-09T00:32:30Z</dcterms:created>
  <dcterms:modified xsi:type="dcterms:W3CDTF">2026-08-09T01:17:54Z</dcterms:modified>
</cp:coreProperties>
</file>