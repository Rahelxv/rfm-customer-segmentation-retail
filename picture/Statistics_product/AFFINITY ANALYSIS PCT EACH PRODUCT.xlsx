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cah\Desktop\ZPython\dunnhumby-project\Statistics_product\"/>
    </mc:Choice>
  </mc:AlternateContent>
  <xr:revisionPtr revIDLastSave="0" documentId="13_ncr:1_{5E4A677B-0576-46C1-B1B2-61B67706B9D7}" xr6:coauthVersionLast="47" xr6:coauthVersionMax="47" xr10:uidLastSave="{00000000-0000-0000-0000-000000000000}"/>
  <bookViews>
    <workbookView xWindow="-120" yWindow="-120" windowWidth="29040" windowHeight="15720" xr2:uid="{4C192B37-947C-4BD3-8058-C7331B5880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43" i="1" l="1"/>
  <c r="H144" i="1" s="1"/>
  <c r="G123" i="1"/>
  <c r="G122" i="1"/>
  <c r="G121" i="1"/>
  <c r="G100" i="1"/>
  <c r="G99" i="1"/>
  <c r="G98" i="1"/>
  <c r="G77" i="1"/>
  <c r="G76" i="1"/>
  <c r="H76" i="1" s="1"/>
  <c r="G54" i="1"/>
  <c r="H54" i="1" s="1"/>
  <c r="G33" i="1"/>
  <c r="G32" i="1"/>
  <c r="G31" i="1"/>
  <c r="G4" i="1"/>
  <c r="G6" i="1"/>
  <c r="G5" i="1"/>
  <c r="H98" i="1" l="1"/>
  <c r="H122" i="1"/>
  <c r="H100" i="1"/>
  <c r="H99" i="1"/>
  <c r="H123" i="1"/>
  <c r="H4" i="1"/>
  <c r="H143" i="1"/>
  <c r="H32" i="1"/>
  <c r="H77" i="1"/>
  <c r="H55" i="1"/>
  <c r="H121" i="1"/>
  <c r="H78" i="1"/>
  <c r="H145" i="1"/>
  <c r="H5" i="1"/>
  <c r="H33" i="1"/>
  <c r="H31" i="1"/>
  <c r="H6" i="1"/>
</calcChain>
</file>

<file path=xl/sharedStrings.xml><?xml version="1.0" encoding="utf-8"?>
<sst xmlns="http://schemas.openxmlformats.org/spreadsheetml/2006/main" count="198" uniqueCount="114">
  <si>
    <t>EVERYDAY</t>
  </si>
  <si>
    <t>NIECHE</t>
  </si>
  <si>
    <t>Sandwiches</t>
  </si>
  <si>
    <t>Newspaper</t>
  </si>
  <si>
    <t>EXCLUDE</t>
  </si>
  <si>
    <t>NO COMMODITY DESC</t>
  </si>
  <si>
    <t>GARDEN CENTER</t>
  </si>
  <si>
    <t>DIETARY AID PRODUCTS</t>
  </si>
  <si>
    <t>LAXATIVES</t>
  </si>
  <si>
    <t>IMPORTED WINE</t>
  </si>
  <si>
    <t>COUPON/MISC ITEMS</t>
  </si>
  <si>
    <t>IN-STORE PHOTOFINISHING</t>
  </si>
  <si>
    <t>JUICE</t>
  </si>
  <si>
    <t>VALENTINE</t>
  </si>
  <si>
    <t>DIAPERS &amp; DISPOSABLES</t>
  </si>
  <si>
    <t>FLORAL-FRESH CUT</t>
  </si>
  <si>
    <t>ADULT INCONTINENCE</t>
  </si>
  <si>
    <t>CAT LITTER</t>
  </si>
  <si>
    <t>STATIONERY &amp; SCHOOL SUPPLIES</t>
  </si>
  <si>
    <t>FLORAL-FLOWERING PLANTS</t>
  </si>
  <si>
    <t>BROOMS AND MOPS</t>
  </si>
  <si>
    <t>FRZN FRUITS</t>
  </si>
  <si>
    <t>ANTACIDS</t>
  </si>
  <si>
    <t>FACIAL TISS/DNR NAPKIN</t>
  </si>
  <si>
    <t>EASTER</t>
  </si>
  <si>
    <t>ELECTRICAL SUPPPLIES</t>
  </si>
  <si>
    <t>DISHWASH DETERGENTS</t>
  </si>
  <si>
    <t>NEW AGE</t>
  </si>
  <si>
    <t>BABY HBC</t>
  </si>
  <si>
    <t>CAT FOOD</t>
  </si>
  <si>
    <t>PREPARED FOOD</t>
  </si>
  <si>
    <t>HAND/BODY/FACIAL PRODUCTS</t>
  </si>
  <si>
    <t>FROZEN CHICKEN</t>
  </si>
  <si>
    <t>SNACKS</t>
  </si>
  <si>
    <t>DOMESTIC WINE</t>
  </si>
  <si>
    <t>CHRISTMAS SEASONAL</t>
  </si>
  <si>
    <t>LAUNDRY ADDITIVES</t>
  </si>
  <si>
    <t>PARTY TRAYS</t>
  </si>
  <si>
    <t>UNKNOWN</t>
  </si>
  <si>
    <t>HOUSEHOLD CLEANG NEEDS</t>
  </si>
  <si>
    <t>BLEACH</t>
  </si>
  <si>
    <t>BATH</t>
  </si>
  <si>
    <t>BREAKFAST SWEETS</t>
  </si>
  <si>
    <t>SALAD BAR</t>
  </si>
  <si>
    <t>Kategori</t>
  </si>
  <si>
    <t>Jumlah Item</t>
  </si>
  <si>
    <t>OCCASION/SEASONAL</t>
  </si>
  <si>
    <t>CHAMPION</t>
  </si>
  <si>
    <t>Persentase</t>
  </si>
  <si>
    <t>Loyalist</t>
  </si>
  <si>
    <t>CIGARETTES</t>
  </si>
  <si>
    <t>APPAREL</t>
  </si>
  <si>
    <t>ISOTONIC DRINKS</t>
  </si>
  <si>
    <t>FALL AND WINTER SEASONAL</t>
  </si>
  <si>
    <t>FROZEN</t>
  </si>
  <si>
    <t>SUSHI</t>
  </si>
  <si>
    <t>Potential Loyalist</t>
  </si>
  <si>
    <t>BABYFOOD</t>
  </si>
  <si>
    <t>BAKING</t>
  </si>
  <si>
    <t>NON-DAIRY BEVERAGES</t>
  </si>
  <si>
    <t>REFRIGERATED</t>
  </si>
  <si>
    <t>CONDIMENTS</t>
  </si>
  <si>
    <t>WATER</t>
  </si>
  <si>
    <t>BEVERAGE</t>
  </si>
  <si>
    <t>INFANT FORMULA</t>
  </si>
  <si>
    <t>INFANT CARE PRODUCTS</t>
  </si>
  <si>
    <t>SNKS/CKYS/CRKR/CNDY</t>
  </si>
  <si>
    <t>PREPARED/PKGD FOODS</t>
  </si>
  <si>
    <t>CEREAL/BREAKFAST</t>
  </si>
  <si>
    <t>ORGANICS FRUIT &amp; VEGETABLES</t>
  </si>
  <si>
    <t>HOSIERY/SOCKS</t>
  </si>
  <si>
    <t>Lost</t>
  </si>
  <si>
    <t>CHICKEN/POULTRY</t>
  </si>
  <si>
    <t>PWDR/CRYSTL DRNK MX</t>
  </si>
  <si>
    <t>DINNER SAUSAGE</t>
  </si>
  <si>
    <t>CAKES</t>
  </si>
  <si>
    <t>SEAFOOD-FRESH</t>
  </si>
  <si>
    <t>PNT BTR/JELLY/JAMS</t>
  </si>
  <si>
    <t>REFRGRATD JUICES/DRNKS</t>
  </si>
  <si>
    <t>DRY MIX DESSERTS</t>
  </si>
  <si>
    <t>ROLLS</t>
  </si>
  <si>
    <t>LUNCHMEAT</t>
  </si>
  <si>
    <t>VALUE ADDED FRUIT</t>
  </si>
  <si>
    <t>DINNER MXS:DRY</t>
  </si>
  <si>
    <t>HOT DOGS</t>
  </si>
  <si>
    <t>MELONS</t>
  </si>
  <si>
    <t>Occasional Customer</t>
  </si>
  <si>
    <t>PIES</t>
  </si>
  <si>
    <t>J-HOOKS</t>
  </si>
  <si>
    <t>SALADS/DIPS</t>
  </si>
  <si>
    <t>MISC WINE</t>
  </si>
  <si>
    <t>SYRUPS/TOPPINGS</t>
  </si>
  <si>
    <t>HOT CEREAL</t>
  </si>
  <si>
    <t>KITCHEN GADGETS</t>
  </si>
  <si>
    <t>AUDIO/VIDEO PRODUCTS</t>
  </si>
  <si>
    <t>SMOKED MEATS</t>
  </si>
  <si>
    <t>TOYS AND GAMES</t>
  </si>
  <si>
    <t>MEAT - MISC</t>
  </si>
  <si>
    <t>PLASTIC HOUSEWARES</t>
  </si>
  <si>
    <t>PREPAID WIRELESS&amp;ACCESSORIES</t>
  </si>
  <si>
    <t>FRZN ICE</t>
  </si>
  <si>
    <t>FROZEN - BOXED(GROCERY)</t>
  </si>
  <si>
    <t>FLOUR &amp; MEALS</t>
  </si>
  <si>
    <t>CANNED MILK</t>
  </si>
  <si>
    <t>SPRING/SUMMER SEASONAL</t>
  </si>
  <si>
    <t>FRZN JCE CONC/DRNKS</t>
  </si>
  <si>
    <t>Regular</t>
  </si>
  <si>
    <t>Risk of Losing</t>
  </si>
  <si>
    <t>FUEL</t>
  </si>
  <si>
    <t>BACON</t>
  </si>
  <si>
    <t>DELI MEATS</t>
  </si>
  <si>
    <t>SHAVING CARE PRODUCTS</t>
  </si>
  <si>
    <t>FITNESS&amp;DIET</t>
  </si>
  <si>
    <t>FROZEN PIZZA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</si>
</sst>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Tableau Book"/>
    </font>
    <font>
      <sz val="11"/>
      <color rgb="FF000000"/>
      <name val="Aptos Narrow"/>
      <family val="2"/>
      <scheme val="minor"/>
    </font>
    <font>
      <sz val="11"/>
      <color rgb="FF000000"/>
      <name val="Tableau Book"/>
    </font>
    <font>
      <sz val="11"/>
      <color rgb="FF000000"/>
      <name val="Arial"/>
      <family val="2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right" vertical="top"/>
    </xf>
    <xf numFmtId="0" fontId="6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0" fontId="0" fillId="0" borderId="0" xfId="0" applyNumberFormat="1" applyAlignment="1">
      <alignment vertical="top"/>
    </xf>
    <xf numFmtId="10" fontId="0" fillId="0" borderId="0" xfId="0" applyNumberForma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CHAMPION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Sheet1!$G$3</c:f>
              <c:strCache>
                <c:ptCount val="1"/>
                <c:pt idx="0">
                  <c:v>Jumlah Item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632-4B6C-BCBA-071033D7942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632-4B6C-BCBA-071033D7942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632-4B6C-BCBA-071033D794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Sheet1!$F$4:$F$6</c:f>
              <c:strCache>
                <c:ptCount val="3"/>
                <c:pt idx="0">
                  <c:v>EVERYDAY</c:v>
                </c:pt>
                <c:pt idx="1">
                  <c:v>OCCASION/SEASONAL</c:v>
                </c:pt>
                <c:pt idx="2">
                  <c:v>NIECHE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24</c:v>
                </c:pt>
                <c:pt idx="1">
                  <c:v>9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4-452D-9E85-2E993C87CF2C}"/>
            </c:ext>
          </c:extLst>
        </c:ser>
        <c:ser>
          <c:idx val="1"/>
          <c:order val="1"/>
          <c:tx>
            <c:strRef>
              <c:f>Sheet1!$H$3</c:f>
              <c:strCache>
                <c:ptCount val="1"/>
                <c:pt idx="0">
                  <c:v>Persentase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632-4B6C-BCBA-071033D7942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632-4B6C-BCBA-071033D7942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632-4B6C-BCBA-071033D794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Sheet1!$F$4:$F$6</c:f>
              <c:strCache>
                <c:ptCount val="3"/>
                <c:pt idx="0">
                  <c:v>EVERYDAY</c:v>
                </c:pt>
                <c:pt idx="1">
                  <c:v>OCCASION/SEASONAL</c:v>
                </c:pt>
                <c:pt idx="2">
                  <c:v>NIECHE</c:v>
                </c:pt>
              </c:strCache>
            </c:strRef>
          </c:cat>
          <c:val>
            <c:numRef>
              <c:f>Sheet1!$H$4:$H$6</c:f>
              <c:numCache>
                <c:formatCode>0.00%</c:formatCode>
                <c:ptCount val="3"/>
                <c:pt idx="0">
                  <c:v>0.61538461538461542</c:v>
                </c:pt>
                <c:pt idx="1">
                  <c:v>0.23076923076923078</c:v>
                </c:pt>
                <c:pt idx="2">
                  <c:v>0.15384615384615385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C4-452D-9E85-2E993C87CF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Loyalist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Sheet1!$G$30</c:f>
              <c:strCache>
                <c:ptCount val="1"/>
                <c:pt idx="0">
                  <c:v>Jumlah Item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F9-4A2C-BEC8-3CBE3C8D565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AF9-4A2C-BEC8-3CBE3C8D565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AF9-4A2C-BEC8-3CBE3C8D56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Sheet1!$F$31:$F$33</c:f>
              <c:strCache>
                <c:ptCount val="3"/>
                <c:pt idx="0">
                  <c:v>EVERYDAY</c:v>
                </c:pt>
                <c:pt idx="1">
                  <c:v>OCCASION/SEASONAL</c:v>
                </c:pt>
                <c:pt idx="2">
                  <c:v>NIECHE</c:v>
                </c:pt>
              </c:strCache>
            </c:strRef>
          </c:cat>
          <c:val>
            <c:numRef>
              <c:f>Sheet1!$G$31:$G$33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A-4A80-88F7-600D6F2EC72F}"/>
            </c:ext>
          </c:extLst>
        </c:ser>
        <c:ser>
          <c:idx val="1"/>
          <c:order val="1"/>
          <c:tx>
            <c:strRef>
              <c:f>Sheet1!$H$30</c:f>
              <c:strCache>
                <c:ptCount val="1"/>
                <c:pt idx="0">
                  <c:v>Persentase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AF9-4A2C-BEC8-3CBE3C8D565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AF9-4A2C-BEC8-3CBE3C8D565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AF9-4A2C-BEC8-3CBE3C8D56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Sheet1!$F$31:$F$33</c:f>
              <c:strCache>
                <c:ptCount val="3"/>
                <c:pt idx="0">
                  <c:v>EVERYDAY</c:v>
                </c:pt>
                <c:pt idx="1">
                  <c:v>OCCASION/SEASONAL</c:v>
                </c:pt>
                <c:pt idx="2">
                  <c:v>NIECHE</c:v>
                </c:pt>
              </c:strCache>
            </c:strRef>
          </c:cat>
          <c:val>
            <c:numRef>
              <c:f>Sheet1!$H$31:$H$33</c:f>
              <c:numCache>
                <c:formatCode>0.00%</c:formatCode>
                <c:ptCount val="3"/>
                <c:pt idx="0">
                  <c:v>0.42857142857142855</c:v>
                </c:pt>
                <c:pt idx="1">
                  <c:v>0.42857142857142855</c:v>
                </c:pt>
                <c:pt idx="2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5A-4A80-88F7-600D6F2EC7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Potential Loyalist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Sheet1!$G$53</c:f>
              <c:strCache>
                <c:ptCount val="1"/>
                <c:pt idx="0">
                  <c:v>Jumlah Item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2A0-4C2F-B4D7-76CA37E5920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2A0-4C2F-B4D7-76CA37E5920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2A0-4C2F-B4D7-76CA37E592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Sheet1!$F$54:$F$56</c:f>
              <c:strCache>
                <c:ptCount val="3"/>
                <c:pt idx="0">
                  <c:v>EVERYDAY</c:v>
                </c:pt>
                <c:pt idx="1">
                  <c:v>OCCASION/SEASONAL</c:v>
                </c:pt>
                <c:pt idx="2">
                  <c:v>NIECHE</c:v>
                </c:pt>
              </c:strCache>
            </c:strRef>
          </c:cat>
          <c:val>
            <c:numRef>
              <c:f>Sheet1!$G$54:$G$56</c:f>
              <c:numCache>
                <c:formatCode>General</c:formatCode>
                <c:ptCount val="3"/>
                <c:pt idx="0">
                  <c:v>15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9D-449D-A21A-DEB7781BE556}"/>
            </c:ext>
          </c:extLst>
        </c:ser>
        <c:ser>
          <c:idx val="1"/>
          <c:order val="1"/>
          <c:tx>
            <c:strRef>
              <c:f>Sheet1!$H$53</c:f>
              <c:strCache>
                <c:ptCount val="1"/>
                <c:pt idx="0">
                  <c:v>Persentase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2A0-4C2F-B4D7-76CA37E5920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2A0-4C2F-B4D7-76CA37E5920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2A0-4C2F-B4D7-76CA37E59200}"/>
              </c:ext>
            </c:extLst>
          </c:dPt>
          <c:cat>
            <c:strRef>
              <c:f>Sheet1!$F$54:$F$56</c:f>
              <c:strCache>
                <c:ptCount val="3"/>
                <c:pt idx="0">
                  <c:v>EVERYDAY</c:v>
                </c:pt>
                <c:pt idx="1">
                  <c:v>OCCASION/SEASONAL</c:v>
                </c:pt>
                <c:pt idx="2">
                  <c:v>NIECHE</c:v>
                </c:pt>
              </c:strCache>
            </c:strRef>
          </c:cat>
          <c:val>
            <c:numRef>
              <c:f>Sheet1!$H$54:$H$56</c:f>
              <c:numCache>
                <c:formatCode>0.00%</c:formatCode>
                <c:ptCount val="3"/>
                <c:pt idx="0">
                  <c:v>0.9375</c:v>
                </c:pt>
                <c:pt idx="1">
                  <c:v>6.25E-2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9D-449D-A21A-DEB7781BE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Sheet1!$G$75</c:f>
              <c:strCache>
                <c:ptCount val="1"/>
                <c:pt idx="0">
                  <c:v>Jumlah Item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864-4B97-B104-C919AF09A32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864-4B97-B104-C919AF09A32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864-4B97-B104-C919AF09A3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Sheet1!$F$76:$F$78</c:f>
              <c:strCache>
                <c:ptCount val="3"/>
                <c:pt idx="0">
                  <c:v>EVERYDAY</c:v>
                </c:pt>
                <c:pt idx="1">
                  <c:v>OCCASION/SEASONAL</c:v>
                </c:pt>
                <c:pt idx="2">
                  <c:v>NIECHE</c:v>
                </c:pt>
              </c:strCache>
            </c:strRef>
          </c:cat>
          <c:val>
            <c:numRef>
              <c:f>Sheet1!$G$76:$G$78</c:f>
              <c:numCache>
                <c:formatCode>General</c:formatCode>
                <c:ptCount val="3"/>
                <c:pt idx="0">
                  <c:v>15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4-40E3-8121-BEA17996F5B5}"/>
            </c:ext>
          </c:extLst>
        </c:ser>
        <c:ser>
          <c:idx val="1"/>
          <c:order val="1"/>
          <c:tx>
            <c:strRef>
              <c:f>Sheet1!$H$75</c:f>
              <c:strCache>
                <c:ptCount val="1"/>
                <c:pt idx="0">
                  <c:v>Persentase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864-4B97-B104-C919AF09A32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864-4B97-B104-C919AF09A32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864-4B97-B104-C919AF09A323}"/>
              </c:ext>
            </c:extLst>
          </c:dPt>
          <c:cat>
            <c:strRef>
              <c:f>Sheet1!$F$76:$F$78</c:f>
              <c:strCache>
                <c:ptCount val="3"/>
                <c:pt idx="0">
                  <c:v>EVERYDAY</c:v>
                </c:pt>
                <c:pt idx="1">
                  <c:v>OCCASION/SEASONAL</c:v>
                </c:pt>
                <c:pt idx="2">
                  <c:v>NIECHE</c:v>
                </c:pt>
              </c:strCache>
            </c:strRef>
          </c:cat>
          <c:val>
            <c:numRef>
              <c:f>Sheet1!$H$76:$H$78</c:f>
              <c:numCache>
                <c:formatCode>0.00%</c:formatCode>
                <c:ptCount val="3"/>
                <c:pt idx="0">
                  <c:v>0.9375</c:v>
                </c:pt>
                <c:pt idx="1">
                  <c:v>6.25E-2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74-40E3-8121-BEA17996F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Occasional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Sheet1!$G$97</c:f>
              <c:strCache>
                <c:ptCount val="1"/>
                <c:pt idx="0">
                  <c:v>Jumlah Item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461-4EA0-BB1E-81677CE9C0A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461-4EA0-BB1E-81677CE9C0A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461-4EA0-BB1E-81677CE9C0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Sheet1!$F$98:$F$100</c:f>
              <c:strCache>
                <c:ptCount val="3"/>
                <c:pt idx="0">
                  <c:v>EVERYDAY</c:v>
                </c:pt>
                <c:pt idx="1">
                  <c:v>OCCASION/SEASONAL</c:v>
                </c:pt>
                <c:pt idx="2">
                  <c:v>NIECHE</c:v>
                </c:pt>
              </c:strCache>
            </c:strRef>
          </c:cat>
          <c:val>
            <c:numRef>
              <c:f>Sheet1!$G$98:$G$100</c:f>
              <c:numCache>
                <c:formatCode>General</c:formatCode>
                <c:ptCount val="3"/>
                <c:pt idx="0">
                  <c:v>9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9-472C-8B7C-591B4A737EE8}"/>
            </c:ext>
          </c:extLst>
        </c:ser>
        <c:ser>
          <c:idx val="1"/>
          <c:order val="1"/>
          <c:tx>
            <c:strRef>
              <c:f>Sheet1!$H$97</c:f>
              <c:strCache>
                <c:ptCount val="1"/>
                <c:pt idx="0">
                  <c:v>Persentase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461-4EA0-BB1E-81677CE9C0A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461-4EA0-BB1E-81677CE9C0A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461-4EA0-BB1E-81677CE9C0AC}"/>
              </c:ext>
            </c:extLst>
          </c:dPt>
          <c:cat>
            <c:strRef>
              <c:f>Sheet1!$F$98:$F$100</c:f>
              <c:strCache>
                <c:ptCount val="3"/>
                <c:pt idx="0">
                  <c:v>EVERYDAY</c:v>
                </c:pt>
                <c:pt idx="1">
                  <c:v>OCCASION/SEASONAL</c:v>
                </c:pt>
                <c:pt idx="2">
                  <c:v>NIECHE</c:v>
                </c:pt>
              </c:strCache>
            </c:strRef>
          </c:cat>
          <c:val>
            <c:numRef>
              <c:f>Sheet1!$H$98:$H$100</c:f>
              <c:numCache>
                <c:formatCode>0.00%</c:formatCode>
                <c:ptCount val="3"/>
                <c:pt idx="0">
                  <c:v>0.6</c:v>
                </c:pt>
                <c:pt idx="1">
                  <c:v>0.2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79-472C-8B7C-591B4A737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Regular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Sheet1!$G$120</c:f>
              <c:strCache>
                <c:ptCount val="1"/>
                <c:pt idx="0">
                  <c:v>Jumlah Item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EBD-4E10-ACD9-5C60A8019F3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EBD-4E10-ACD9-5C60A8019F3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EBD-4E10-ACD9-5C60A8019F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Sheet1!$F$121:$F$123</c:f>
              <c:strCache>
                <c:ptCount val="3"/>
                <c:pt idx="0">
                  <c:v>EVERYDAY</c:v>
                </c:pt>
                <c:pt idx="1">
                  <c:v>OCCASION/SEASONAL</c:v>
                </c:pt>
                <c:pt idx="2">
                  <c:v>NIECHE</c:v>
                </c:pt>
              </c:strCache>
            </c:strRef>
          </c:cat>
          <c:val>
            <c:numRef>
              <c:f>Sheet1!$G$121:$G$123</c:f>
              <c:numCache>
                <c:formatCode>General</c:formatCode>
                <c:ptCount val="3"/>
                <c:pt idx="0">
                  <c:v>10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4-450B-81C3-228600B4303A}"/>
            </c:ext>
          </c:extLst>
        </c:ser>
        <c:ser>
          <c:idx val="1"/>
          <c:order val="1"/>
          <c:tx>
            <c:strRef>
              <c:f>Sheet1!$H$120</c:f>
              <c:strCache>
                <c:ptCount val="1"/>
                <c:pt idx="0">
                  <c:v>Persentase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EBD-4E10-ACD9-5C60A8019F3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EBD-4E10-ACD9-5C60A8019F3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EBD-4E10-ACD9-5C60A8019F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Sheet1!$F$121:$F$123</c:f>
              <c:strCache>
                <c:ptCount val="3"/>
                <c:pt idx="0">
                  <c:v>EVERYDAY</c:v>
                </c:pt>
                <c:pt idx="1">
                  <c:v>OCCASION/SEASONAL</c:v>
                </c:pt>
                <c:pt idx="2">
                  <c:v>NIECHE</c:v>
                </c:pt>
              </c:strCache>
            </c:strRef>
          </c:cat>
          <c:val>
            <c:numRef>
              <c:f>Sheet1!$H$121:$H$123</c:f>
              <c:numCache>
                <c:formatCode>0.00%</c:formatCode>
                <c:ptCount val="3"/>
                <c:pt idx="0">
                  <c:v>0.76923076923076927</c:v>
                </c:pt>
                <c:pt idx="1">
                  <c:v>0.15384615384615385</c:v>
                </c:pt>
                <c:pt idx="2">
                  <c:v>7.6923076923076927E-2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A4-450B-81C3-228600B430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</a:t>
            </a:r>
            <a:r>
              <a:rPr lang="en-US" baseline="0"/>
              <a:t> of Losing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Sheet1!$G$142</c:f>
              <c:strCache>
                <c:ptCount val="1"/>
                <c:pt idx="0">
                  <c:v>Jumlah Item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4B5-4F6B-A3D8-4544FB89B03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B5-4F6B-A3D8-4544FB89B03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4B5-4F6B-A3D8-4544FB89B0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Sheet1!$F$143:$F$145</c:f>
              <c:strCache>
                <c:ptCount val="3"/>
                <c:pt idx="0">
                  <c:v>EVERYDAY</c:v>
                </c:pt>
                <c:pt idx="1">
                  <c:v>OCCASION/SEASONAL</c:v>
                </c:pt>
                <c:pt idx="2">
                  <c:v>NIECHE</c:v>
                </c:pt>
              </c:strCache>
            </c:strRef>
          </c:cat>
          <c:val>
            <c:numRef>
              <c:f>Sheet1!$G$143:$G$145</c:f>
              <c:numCache>
                <c:formatCode>General</c:formatCode>
                <c:ptCount val="3"/>
                <c:pt idx="0">
                  <c:v>11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8-48B7-B5CB-71246268970B}"/>
            </c:ext>
          </c:extLst>
        </c:ser>
        <c:ser>
          <c:idx val="1"/>
          <c:order val="1"/>
          <c:tx>
            <c:strRef>
              <c:f>Sheet1!$H$142</c:f>
              <c:strCache>
                <c:ptCount val="1"/>
                <c:pt idx="0">
                  <c:v>Persentase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4B5-4F6B-A3D8-4544FB89B03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4B5-4F6B-A3D8-4544FB89B03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4B5-4F6B-A3D8-4544FB89B0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Sheet1!$F$143:$F$145</c:f>
              <c:strCache>
                <c:ptCount val="3"/>
                <c:pt idx="0">
                  <c:v>EVERYDAY</c:v>
                </c:pt>
                <c:pt idx="1">
                  <c:v>OCCASION/SEASONAL</c:v>
                </c:pt>
                <c:pt idx="2">
                  <c:v>NIECHE</c:v>
                </c:pt>
              </c:strCache>
            </c:strRef>
          </c:cat>
          <c:val>
            <c:numRef>
              <c:f>Sheet1!$H$143:$H$145</c:f>
              <c:numCache>
                <c:formatCode>0.00%</c:formatCode>
                <c:ptCount val="3"/>
                <c:pt idx="0">
                  <c:v>0.91666666666666663</c:v>
                </c:pt>
                <c:pt idx="1">
                  <c:v>0</c:v>
                </c:pt>
                <c:pt idx="2">
                  <c:v>8.3333333333333329E-2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98-48B7-B5CB-7124626897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14287</xdr:rowOff>
    </xdr:from>
    <xdr:to>
      <xdr:col>10</xdr:col>
      <xdr:colOff>0</xdr:colOff>
      <xdr:row>22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B26A58-A45A-9486-9463-5A3D9C75F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1354958</xdr:colOff>
      <xdr:row>35</xdr:row>
      <xdr:rowOff>5862</xdr:rowOff>
    </xdr:from>
    <xdr:to>
      <xdr:col>9</xdr:col>
      <xdr:colOff>598714</xdr:colOff>
      <xdr:row>49</xdr:row>
      <xdr:rowOff>163286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B7A4FB-EBAB-2875-A24E-A15AE7486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1362160</xdr:colOff>
      <xdr:row>58</xdr:row>
      <xdr:rowOff>11465</xdr:rowOff>
    </xdr:from>
    <xdr:to>
      <xdr:col>10</xdr:col>
      <xdr:colOff>11205</xdr:colOff>
      <xdr:row>72</xdr:row>
      <xdr:rowOff>87665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75B594-EF80-2813-47B2-8918F49A4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1352550</xdr:colOff>
      <xdr:row>80</xdr:row>
      <xdr:rowOff>4762</xdr:rowOff>
    </xdr:from>
    <xdr:to>
      <xdr:col>9</xdr:col>
      <xdr:colOff>600075</xdr:colOff>
      <xdr:row>94</xdr:row>
      <xdr:rowOff>80962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8DB8F5E-F05D-05A6-0479-2F9DAA47E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1362074</xdr:colOff>
      <xdr:row>102</xdr:row>
      <xdr:rowOff>14287</xdr:rowOff>
    </xdr:from>
    <xdr:to>
      <xdr:col>10</xdr:col>
      <xdr:colOff>9524</xdr:colOff>
      <xdr:row>116</xdr:row>
      <xdr:rowOff>90487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6FAC72A-01D5-4153-CAD0-B1B665E006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14287</xdr:colOff>
      <xdr:row>124</xdr:row>
      <xdr:rowOff>176212</xdr:rowOff>
    </xdr:from>
    <xdr:to>
      <xdr:col>10</xdr:col>
      <xdr:colOff>9525</xdr:colOff>
      <xdr:row>139</xdr:row>
      <xdr:rowOff>61912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9F178E5-AADD-95C3-2F4D-78ACF37FB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14287</xdr:colOff>
      <xdr:row>146</xdr:row>
      <xdr:rowOff>176212</xdr:rowOff>
    </xdr:from>
    <xdr:to>
      <xdr:col>10</xdr:col>
      <xdr:colOff>9525</xdr:colOff>
      <xdr:row>161</xdr:row>
      <xdr:rowOff>61912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F2E4B20-A4F6-B017-3B22-6CDD4DCFA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48EF-C33E-4305-B4F6-9B8601325DD2}">
  <dimension ref="A1:H153"/>
  <sheetViews>
    <sheetView tabSelected="1" topLeftCell="A43" zoomScaleNormal="100" workbookViewId="0">
      <selection activeCell="A65" sqref="A65"/>
    </sheetView>
  </sheetViews>
  <sheetFormatPr defaultRowHeight="15"/>
  <cols>
    <col min="1" max="1" width="25.28515625" bestFit="1" customWidth="1"/>
    <col min="2" max="3" width="26.140625" bestFit="1" customWidth="1"/>
    <col min="4" max="4" width="20.42578125" bestFit="1" customWidth="1"/>
    <col min="6" max="6" width="20.7109375" bestFit="1" customWidth="1"/>
    <col min="7" max="7" width="11.85546875" bestFit="1" customWidth="1"/>
    <col min="8" max="8" width="11.140625" bestFit="1" customWidth="1"/>
  </cols>
  <sheetData>
    <row r="1" spans="1:8" s="1" customFormat="1"/>
    <row r="2" spans="1:8" s="3" customFormat="1">
      <c r="A2" s="9" t="s">
        <v>47</v>
      </c>
    </row>
    <row r="3" spans="1:8" s="3" customFormat="1">
      <c r="A3" s="1" t="s">
        <v>0</v>
      </c>
      <c r="B3" s="1" t="s">
        <v>46</v>
      </c>
      <c r="C3" s="1" t="s">
        <v>1</v>
      </c>
      <c r="D3" s="1" t="s">
        <v>4</v>
      </c>
      <c r="E3" s="1"/>
      <c r="F3" s="1" t="s">
        <v>44</v>
      </c>
      <c r="G3" s="1" t="s">
        <v>45</v>
      </c>
      <c r="H3" s="10" t="s">
        <v>48</v>
      </c>
    </row>
    <row r="4" spans="1:8" s="3" customFormat="1">
      <c r="A4" s="3" t="s">
        <v>2</v>
      </c>
      <c r="B4" s="3" t="s">
        <v>7</v>
      </c>
      <c r="C4" s="3" t="s">
        <v>6</v>
      </c>
      <c r="D4" s="3" t="s">
        <v>5</v>
      </c>
      <c r="F4" s="3" t="s">
        <v>0</v>
      </c>
      <c r="G4" s="3">
        <f>COUNTA(A4:A27)</f>
        <v>24</v>
      </c>
      <c r="H4" s="11">
        <f>G4/SUM($G$4:$G$6)</f>
        <v>0.61538461538461542</v>
      </c>
    </row>
    <row r="5" spans="1:8" s="3" customFormat="1">
      <c r="A5" s="3" t="s">
        <v>3</v>
      </c>
      <c r="B5" s="4" t="s">
        <v>9</v>
      </c>
      <c r="C5" s="5" t="s">
        <v>8</v>
      </c>
      <c r="D5" s="6" t="s">
        <v>38</v>
      </c>
      <c r="F5" s="3" t="s">
        <v>46</v>
      </c>
      <c r="G5" s="3">
        <f>COUNTA(B4:B12)</f>
        <v>9</v>
      </c>
      <c r="H5" s="11">
        <f>G5/SUM($G$4:$G$6)</f>
        <v>0.23076923076923078</v>
      </c>
    </row>
    <row r="6" spans="1:8" s="3" customFormat="1">
      <c r="A6" s="4" t="s">
        <v>10</v>
      </c>
      <c r="B6" s="5" t="s">
        <v>11</v>
      </c>
      <c r="C6" s="5" t="s">
        <v>17</v>
      </c>
      <c r="F6" s="3" t="s">
        <v>1</v>
      </c>
      <c r="G6" s="3">
        <f>COUNTA(C4:C9)</f>
        <v>6</v>
      </c>
      <c r="H6" s="11">
        <f>G6/SUM($G$4:$G$6)</f>
        <v>0.15384615384615385</v>
      </c>
    </row>
    <row r="7" spans="1:8" s="3" customFormat="1">
      <c r="A7" s="5" t="s">
        <v>12</v>
      </c>
      <c r="B7" s="5" t="s">
        <v>13</v>
      </c>
      <c r="C7" s="5" t="s">
        <v>19</v>
      </c>
      <c r="H7" s="11"/>
    </row>
    <row r="8" spans="1:8" s="3" customFormat="1">
      <c r="A8" s="5" t="s">
        <v>14</v>
      </c>
      <c r="B8" s="5" t="s">
        <v>15</v>
      </c>
      <c r="C8" s="5" t="s">
        <v>22</v>
      </c>
    </row>
    <row r="9" spans="1:8" s="3" customFormat="1">
      <c r="A9" s="5" t="s">
        <v>16</v>
      </c>
      <c r="B9" s="3" t="s">
        <v>24</v>
      </c>
      <c r="C9" s="6" t="s">
        <v>29</v>
      </c>
    </row>
    <row r="10" spans="1:8" s="3" customFormat="1">
      <c r="A10" s="5" t="s">
        <v>18</v>
      </c>
      <c r="B10" s="7" t="s">
        <v>34</v>
      </c>
    </row>
    <row r="11" spans="1:8" s="3" customFormat="1">
      <c r="A11" s="5" t="s">
        <v>20</v>
      </c>
      <c r="B11" s="6" t="s">
        <v>35</v>
      </c>
    </row>
    <row r="12" spans="1:8" s="3" customFormat="1">
      <c r="A12" s="5" t="s">
        <v>21</v>
      </c>
      <c r="B12" s="6" t="s">
        <v>37</v>
      </c>
    </row>
    <row r="13" spans="1:8" s="3" customFormat="1">
      <c r="A13" s="5" t="s">
        <v>23</v>
      </c>
    </row>
    <row r="14" spans="1:8" s="3" customFormat="1">
      <c r="A14" s="5" t="s">
        <v>25</v>
      </c>
    </row>
    <row r="15" spans="1:8" s="3" customFormat="1">
      <c r="A15" s="5" t="s">
        <v>26</v>
      </c>
    </row>
    <row r="16" spans="1:8" s="3" customFormat="1">
      <c r="A16" s="6" t="s">
        <v>27</v>
      </c>
    </row>
    <row r="17" spans="1:8" s="3" customFormat="1">
      <c r="A17" s="6" t="s">
        <v>28</v>
      </c>
    </row>
    <row r="18" spans="1:8" s="3" customFormat="1">
      <c r="A18" s="6" t="s">
        <v>30</v>
      </c>
    </row>
    <row r="19" spans="1:8" s="3" customFormat="1">
      <c r="A19" s="6" t="s">
        <v>31</v>
      </c>
    </row>
    <row r="20" spans="1:8" s="3" customFormat="1">
      <c r="A20" s="6" t="s">
        <v>32</v>
      </c>
    </row>
    <row r="21" spans="1:8" s="3" customFormat="1">
      <c r="A21" s="6" t="s">
        <v>33</v>
      </c>
    </row>
    <row r="22" spans="1:8">
      <c r="A22" s="6" t="s">
        <v>36</v>
      </c>
      <c r="B22" s="3"/>
      <c r="C22" s="3"/>
      <c r="D22" s="3"/>
      <c r="E22" s="3"/>
      <c r="F22" s="3"/>
      <c r="G22" s="3"/>
    </row>
    <row r="23" spans="1:8">
      <c r="A23" s="8" t="s">
        <v>39</v>
      </c>
      <c r="B23" s="3"/>
      <c r="C23" s="3"/>
      <c r="D23" s="3"/>
      <c r="E23" s="3"/>
      <c r="F23" s="3"/>
      <c r="G23" s="3"/>
    </row>
    <row r="24" spans="1:8">
      <c r="A24" s="2" t="s">
        <v>40</v>
      </c>
    </row>
    <row r="25" spans="1:8">
      <c r="A25" s="2" t="s">
        <v>41</v>
      </c>
    </row>
    <row r="26" spans="1:8">
      <c r="A26" s="2" t="s">
        <v>42</v>
      </c>
    </row>
    <row r="27" spans="1:8">
      <c r="A27" s="2" t="s">
        <v>43</v>
      </c>
    </row>
    <row r="29" spans="1:8">
      <c r="A29" s="9" t="s">
        <v>49</v>
      </c>
    </row>
    <row r="30" spans="1:8">
      <c r="A30" s="1" t="s">
        <v>0</v>
      </c>
      <c r="B30" s="1" t="s">
        <v>46</v>
      </c>
      <c r="C30" s="1" t="s">
        <v>1</v>
      </c>
      <c r="D30" s="1" t="s">
        <v>4</v>
      </c>
      <c r="F30" s="1" t="s">
        <v>44</v>
      </c>
      <c r="G30" s="1" t="s">
        <v>45</v>
      </c>
      <c r="H30" s="10" t="s">
        <v>48</v>
      </c>
    </row>
    <row r="31" spans="1:8">
      <c r="A31" s="2" t="s">
        <v>52</v>
      </c>
      <c r="B31" s="2" t="s">
        <v>34</v>
      </c>
      <c r="C31" s="2" t="s">
        <v>6</v>
      </c>
      <c r="F31" s="3" t="s">
        <v>0</v>
      </c>
      <c r="G31">
        <f>COUNTA(A31:A33)</f>
        <v>3</v>
      </c>
      <c r="H31" s="12">
        <f>G31/SUM($G$31:$G$33)</f>
        <v>0.42857142857142855</v>
      </c>
    </row>
    <row r="32" spans="1:8">
      <c r="A32" s="2" t="s">
        <v>54</v>
      </c>
      <c r="B32" s="2" t="s">
        <v>51</v>
      </c>
      <c r="F32" s="3" t="s">
        <v>46</v>
      </c>
      <c r="G32">
        <f>COUNTA(B31:B33)</f>
        <v>3</v>
      </c>
      <c r="H32" s="12">
        <f>G32/SUM($G$31:$G$33)</f>
        <v>0.42857142857142855</v>
      </c>
    </row>
    <row r="33" spans="1:8">
      <c r="A33" s="2" t="s">
        <v>55</v>
      </c>
      <c r="B33" s="2" t="s">
        <v>53</v>
      </c>
      <c r="F33" s="3" t="s">
        <v>1</v>
      </c>
      <c r="G33">
        <f>COUNTA(C31:C31)</f>
        <v>1</v>
      </c>
      <c r="H33" s="12">
        <f>G33/SUM($G$31:$G$33)</f>
        <v>0.14285714285714285</v>
      </c>
    </row>
    <row r="34" spans="1:8">
      <c r="A34" t="s">
        <v>50</v>
      </c>
    </row>
    <row r="52" spans="1:8">
      <c r="A52" s="9" t="s">
        <v>56</v>
      </c>
    </row>
    <row r="53" spans="1:8">
      <c r="A53" s="1" t="s">
        <v>0</v>
      </c>
      <c r="B53" s="1" t="s">
        <v>46</v>
      </c>
      <c r="C53" s="1" t="s">
        <v>1</v>
      </c>
      <c r="D53" s="1" t="s">
        <v>4</v>
      </c>
      <c r="F53" s="1" t="s">
        <v>44</v>
      </c>
      <c r="G53" s="1" t="s">
        <v>45</v>
      </c>
      <c r="H53" s="10" t="s">
        <v>48</v>
      </c>
    </row>
    <row r="54" spans="1:8">
      <c r="A54" s="2" t="s">
        <v>57</v>
      </c>
      <c r="B54" s="13" t="s">
        <v>70</v>
      </c>
      <c r="F54" s="3" t="s">
        <v>0</v>
      </c>
      <c r="G54">
        <f>COUNTA(A54:A68)</f>
        <v>15</v>
      </c>
      <c r="H54" s="12">
        <f>G54/SUM($G$54:$G$56)</f>
        <v>0.9375</v>
      </c>
    </row>
    <row r="55" spans="1:8">
      <c r="A55" s="2" t="s">
        <v>58</v>
      </c>
      <c r="F55" s="3" t="s">
        <v>46</v>
      </c>
      <c r="G55">
        <v>1</v>
      </c>
      <c r="H55" s="12">
        <f>G55/SUM($G$54:$G$56)</f>
        <v>6.25E-2</v>
      </c>
    </row>
    <row r="56" spans="1:8">
      <c r="A56" s="2" t="s">
        <v>55</v>
      </c>
      <c r="F56" s="3" t="s">
        <v>1</v>
      </c>
      <c r="G56">
        <v>0</v>
      </c>
      <c r="H56" s="12">
        <v>0</v>
      </c>
    </row>
    <row r="57" spans="1:8">
      <c r="A57" s="2" t="s">
        <v>59</v>
      </c>
    </row>
    <row r="58" spans="1:8">
      <c r="A58" s="2" t="s">
        <v>60</v>
      </c>
    </row>
    <row r="59" spans="1:8">
      <c r="A59" s="2" t="s">
        <v>61</v>
      </c>
    </row>
    <row r="60" spans="1:8">
      <c r="A60" s="2" t="s">
        <v>62</v>
      </c>
    </row>
    <row r="61" spans="1:8">
      <c r="A61" s="2" t="s">
        <v>54</v>
      </c>
    </row>
    <row r="62" spans="1:8">
      <c r="A62" s="2" t="s">
        <v>63</v>
      </c>
    </row>
    <row r="63" spans="1:8">
      <c r="A63" s="2" t="s">
        <v>64</v>
      </c>
    </row>
    <row r="64" spans="1:8">
      <c r="A64" s="2" t="s">
        <v>65</v>
      </c>
    </row>
    <row r="65" spans="1:8">
      <c r="A65" s="2" t="s">
        <v>66</v>
      </c>
    </row>
    <row r="66" spans="1:8">
      <c r="A66" s="2" t="s">
        <v>67</v>
      </c>
    </row>
    <row r="67" spans="1:8">
      <c r="A67" s="2" t="s">
        <v>68</v>
      </c>
    </row>
    <row r="68" spans="1:8">
      <c r="A68" s="13" t="s">
        <v>69</v>
      </c>
    </row>
    <row r="74" spans="1:8">
      <c r="A74" s="9" t="s">
        <v>71</v>
      </c>
    </row>
    <row r="75" spans="1:8">
      <c r="A75" s="1" t="s">
        <v>0</v>
      </c>
      <c r="B75" s="1" t="s">
        <v>46</v>
      </c>
      <c r="C75" s="1" t="s">
        <v>1</v>
      </c>
      <c r="D75" s="1" t="s">
        <v>4</v>
      </c>
      <c r="F75" s="1" t="s">
        <v>44</v>
      </c>
      <c r="G75" s="1" t="s">
        <v>45</v>
      </c>
      <c r="H75" s="10" t="s">
        <v>48</v>
      </c>
    </row>
    <row r="76" spans="1:8">
      <c r="A76" s="13" t="s">
        <v>64</v>
      </c>
      <c r="B76" s="2" t="s">
        <v>75</v>
      </c>
      <c r="F76" s="3" t="s">
        <v>0</v>
      </c>
      <c r="G76">
        <f>COUNTA(A76:A90)</f>
        <v>15</v>
      </c>
      <c r="H76" s="12">
        <f>G76/SUM($G$76:$G$78)</f>
        <v>0.9375</v>
      </c>
    </row>
    <row r="77" spans="1:8">
      <c r="A77" s="2" t="s">
        <v>72</v>
      </c>
      <c r="F77" s="3" t="s">
        <v>46</v>
      </c>
      <c r="G77">
        <f>COUNTA(B76)</f>
        <v>1</v>
      </c>
      <c r="H77" s="12">
        <f>G77/SUM($G$76:$G$78)</f>
        <v>6.25E-2</v>
      </c>
    </row>
    <row r="78" spans="1:8">
      <c r="A78" s="2" t="s">
        <v>73</v>
      </c>
      <c r="F78" s="3" t="s">
        <v>1</v>
      </c>
      <c r="G78">
        <v>0</v>
      </c>
      <c r="H78" s="12">
        <f>G78/SUM($G$76:$G$78)</f>
        <v>0</v>
      </c>
    </row>
    <row r="79" spans="1:8">
      <c r="A79" s="2" t="s">
        <v>74</v>
      </c>
    </row>
    <row r="80" spans="1:8">
      <c r="A80" s="2" t="s">
        <v>76</v>
      </c>
    </row>
    <row r="81" spans="1:1">
      <c r="A81" s="2" t="s">
        <v>42</v>
      </c>
    </row>
    <row r="82" spans="1:1">
      <c r="A82" s="2" t="s">
        <v>77</v>
      </c>
    </row>
    <row r="83" spans="1:1">
      <c r="A83" s="2" t="s">
        <v>78</v>
      </c>
    </row>
    <row r="84" spans="1:1">
      <c r="A84" s="2" t="s">
        <v>79</v>
      </c>
    </row>
    <row r="85" spans="1:1">
      <c r="A85" s="2" t="s">
        <v>80</v>
      </c>
    </row>
    <row r="86" spans="1:1">
      <c r="A86" s="2" t="s">
        <v>81</v>
      </c>
    </row>
    <row r="87" spans="1:1">
      <c r="A87" t="s">
        <v>82</v>
      </c>
    </row>
    <row r="88" spans="1:1">
      <c r="A88" s="2" t="s">
        <v>83</v>
      </c>
    </row>
    <row r="89" spans="1:1">
      <c r="A89" s="2" t="s">
        <v>84</v>
      </c>
    </row>
    <row r="90" spans="1:1">
      <c r="A90" s="2" t="s">
        <v>85</v>
      </c>
    </row>
    <row r="96" spans="1:1">
      <c r="A96" s="9" t="s">
        <v>86</v>
      </c>
    </row>
    <row r="97" spans="1:8">
      <c r="A97" s="1" t="s">
        <v>0</v>
      </c>
      <c r="B97" s="1" t="s">
        <v>46</v>
      </c>
      <c r="C97" s="1" t="s">
        <v>1</v>
      </c>
      <c r="D97" s="1" t="s">
        <v>4</v>
      </c>
      <c r="F97" s="1" t="s">
        <v>44</v>
      </c>
      <c r="G97" s="1" t="s">
        <v>45</v>
      </c>
      <c r="H97" s="10" t="s">
        <v>48</v>
      </c>
    </row>
    <row r="98" spans="1:8">
      <c r="A98" s="2" t="s">
        <v>87</v>
      </c>
      <c r="B98" s="2" t="s">
        <v>90</v>
      </c>
      <c r="C98" s="2" t="s">
        <v>94</v>
      </c>
      <c r="F98" s="3" t="s">
        <v>0</v>
      </c>
      <c r="G98">
        <f>COUNTA(A98:A106)</f>
        <v>9</v>
      </c>
      <c r="H98" s="12">
        <f>G98/SUM($G$98:$G$100)</f>
        <v>0.6</v>
      </c>
    </row>
    <row r="99" spans="1:8">
      <c r="A99" s="2" t="s">
        <v>88</v>
      </c>
      <c r="B99" t="s">
        <v>93</v>
      </c>
      <c r="C99" s="2" t="s">
        <v>96</v>
      </c>
      <c r="F99" s="3" t="s">
        <v>46</v>
      </c>
      <c r="G99">
        <f>COUNTA(B98:B100)</f>
        <v>3</v>
      </c>
      <c r="H99" s="12">
        <f>G99/SUM($G$98:$G$100)</f>
        <v>0.2</v>
      </c>
    </row>
    <row r="100" spans="1:8">
      <c r="A100" s="2" t="s">
        <v>89</v>
      </c>
      <c r="B100" s="2" t="s">
        <v>75</v>
      </c>
      <c r="C100" s="2" t="s">
        <v>98</v>
      </c>
      <c r="F100" s="3" t="s">
        <v>1</v>
      </c>
      <c r="G100">
        <f>COUNTA(C98:C100)</f>
        <v>3</v>
      </c>
      <c r="H100" s="12">
        <f>G100/SUM($G$98:$G$100)</f>
        <v>0.2</v>
      </c>
    </row>
    <row r="101" spans="1:8">
      <c r="A101" s="2" t="s">
        <v>91</v>
      </c>
    </row>
    <row r="102" spans="1:8">
      <c r="A102" s="2" t="s">
        <v>92</v>
      </c>
    </row>
    <row r="103" spans="1:8">
      <c r="A103" s="2" t="s">
        <v>83</v>
      </c>
    </row>
    <row r="104" spans="1:8">
      <c r="A104" s="2" t="s">
        <v>79</v>
      </c>
    </row>
    <row r="105" spans="1:8">
      <c r="A105" s="2" t="s">
        <v>95</v>
      </c>
    </row>
    <row r="106" spans="1:8">
      <c r="A106" s="2" t="s">
        <v>97</v>
      </c>
    </row>
    <row r="119" spans="1:8">
      <c r="A119" s="9" t="s">
        <v>106</v>
      </c>
    </row>
    <row r="120" spans="1:8">
      <c r="A120" s="1" t="s">
        <v>0</v>
      </c>
      <c r="B120" s="1" t="s">
        <v>46</v>
      </c>
      <c r="C120" s="1" t="s">
        <v>1</v>
      </c>
      <c r="D120" s="1" t="s">
        <v>4</v>
      </c>
      <c r="F120" s="1" t="s">
        <v>44</v>
      </c>
      <c r="G120" s="1" t="s">
        <v>45</v>
      </c>
      <c r="H120" s="10" t="s">
        <v>48</v>
      </c>
    </row>
    <row r="121" spans="1:8">
      <c r="A121" s="2" t="s">
        <v>59</v>
      </c>
      <c r="B121" s="2" t="s">
        <v>90</v>
      </c>
      <c r="C121" s="2" t="s">
        <v>99</v>
      </c>
      <c r="F121" s="3" t="s">
        <v>0</v>
      </c>
      <c r="G121">
        <f>COUNTA(A121:A130)</f>
        <v>10</v>
      </c>
      <c r="H121" s="12">
        <f>G121/SUM($G$121:$G$123)</f>
        <v>0.76923076923076927</v>
      </c>
    </row>
    <row r="122" spans="1:8">
      <c r="A122" s="2" t="s">
        <v>68</v>
      </c>
      <c r="B122" s="2" t="s">
        <v>104</v>
      </c>
      <c r="F122" s="3" t="s">
        <v>46</v>
      </c>
      <c r="G122">
        <f>COUNTA(B121:B122)</f>
        <v>2</v>
      </c>
      <c r="H122" s="12">
        <f>G122/SUM($G$121:$G$123)</f>
        <v>0.15384615384615385</v>
      </c>
    </row>
    <row r="123" spans="1:8">
      <c r="A123" s="2" t="s">
        <v>100</v>
      </c>
      <c r="F123" s="3" t="s">
        <v>1</v>
      </c>
      <c r="G123">
        <f>COUNTA(C121)</f>
        <v>1</v>
      </c>
      <c r="H123" s="12">
        <f>G123/SUM($G$121:$G$123)</f>
        <v>7.6923076923076927E-2</v>
      </c>
    </row>
    <row r="124" spans="1:8">
      <c r="A124" s="2" t="s">
        <v>101</v>
      </c>
    </row>
    <row r="125" spans="1:8">
      <c r="A125" s="2" t="s">
        <v>102</v>
      </c>
    </row>
    <row r="126" spans="1:8">
      <c r="A126" s="2" t="s">
        <v>103</v>
      </c>
    </row>
    <row r="127" spans="1:8">
      <c r="A127" s="2" t="s">
        <v>67</v>
      </c>
    </row>
    <row r="128" spans="1:8">
      <c r="A128" s="2" t="s">
        <v>73</v>
      </c>
    </row>
    <row r="129" spans="1:8">
      <c r="A129" s="2" t="s">
        <v>78</v>
      </c>
    </row>
    <row r="130" spans="1:8">
      <c r="A130" s="2" t="s">
        <v>105</v>
      </c>
    </row>
    <row r="141" spans="1:8">
      <c r="A141" s="9" t="s">
        <v>107</v>
      </c>
    </row>
    <row r="142" spans="1:8">
      <c r="A142" s="1" t="s">
        <v>0</v>
      </c>
      <c r="B142" s="1" t="s">
        <v>46</v>
      </c>
      <c r="C142" s="1" t="s">
        <v>1</v>
      </c>
      <c r="D142" s="1" t="s">
        <v>4</v>
      </c>
      <c r="F142" s="1" t="s">
        <v>44</v>
      </c>
      <c r="G142" s="1" t="s">
        <v>45</v>
      </c>
      <c r="H142" s="10" t="s">
        <v>48</v>
      </c>
    </row>
    <row r="143" spans="1:8">
      <c r="A143" s="2" t="s">
        <v>105</v>
      </c>
      <c r="C143" s="2" t="s">
        <v>112</v>
      </c>
      <c r="F143" s="3" t="s">
        <v>0</v>
      </c>
      <c r="G143">
        <f>COUNTA(A143:A153)</f>
        <v>11</v>
      </c>
      <c r="H143" s="12">
        <f>G143/SUM($G$143:$G$145)</f>
        <v>0.91666666666666663</v>
      </c>
    </row>
    <row r="144" spans="1:8">
      <c r="A144" s="2" t="s">
        <v>108</v>
      </c>
      <c r="F144" s="3" t="s">
        <v>46</v>
      </c>
      <c r="G144">
        <v>0</v>
      </c>
      <c r="H144" s="12">
        <f>G144/SUM($G$143:$G$145)</f>
        <v>0</v>
      </c>
    </row>
    <row r="145" spans="1:8">
      <c r="A145" s="2" t="s">
        <v>84</v>
      </c>
      <c r="F145" s="3" t="s">
        <v>1</v>
      </c>
      <c r="G145">
        <v>1</v>
      </c>
      <c r="H145" s="12">
        <f>G145/SUM($G$143:$G$145)</f>
        <v>8.3333333333333329E-2</v>
      </c>
    </row>
    <row r="146" spans="1:8">
      <c r="A146" s="2" t="s">
        <v>50</v>
      </c>
    </row>
    <row r="147" spans="1:8">
      <c r="A147" s="2" t="s">
        <v>109</v>
      </c>
    </row>
    <row r="148" spans="1:8">
      <c r="A148" s="2" t="s">
        <v>74</v>
      </c>
    </row>
    <row r="149" spans="1:8">
      <c r="A149" s="2" t="s">
        <v>97</v>
      </c>
    </row>
    <row r="150" spans="1:8">
      <c r="A150" s="2" t="s">
        <v>110</v>
      </c>
    </row>
    <row r="151" spans="1:8">
      <c r="A151" s="2" t="s">
        <v>111</v>
      </c>
    </row>
    <row r="152" spans="1:8">
      <c r="A152" s="2" t="s">
        <v>80</v>
      </c>
    </row>
    <row r="153" spans="1:8">
      <c r="A153" s="2" t="s">
        <v>113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 16</dc:creator>
  <cp:lastModifiedBy>Franz 16</cp:lastModifiedBy>
  <dcterms:created xsi:type="dcterms:W3CDTF">2026-08-07T10:09:15Z</dcterms:created>
  <dcterms:modified xsi:type="dcterms:W3CDTF">2026-08-08T01:25:09Z</dcterms:modified>
</cp:coreProperties>
</file>